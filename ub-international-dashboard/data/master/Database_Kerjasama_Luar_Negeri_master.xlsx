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9d613358534061" /></Relationships>
</file>

<file path=xl/workbook.xml><?xml version="1.0" encoding="utf-8"?>
<x:workbook xmlns:x="http://schemas.openxmlformats.org/spreadsheetml/2006/main">
  <x:sheets>
    <x:sheet xmlns:r="http://schemas.openxmlformats.org/officeDocument/2006/relationships" name="Master Data" sheetId="1" r:id="R7af1b0657c834eb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dd mmm yyyy"/>
  </x:numFmts>
  <x:fonts count="3">
    <x:font>
      <x:sz val="11"/>
      <x:name val="Carlito"/>
    </x:font>
    <x:font>
      <x:b/>
      <x:sz val="11"/>
      <x:color rgb="FFFFFFFF"/>
      <x:name val="Carlito"/>
    </x:font>
    <x:font>
      <x:sz val="11"/>
      <x:color rgb="FF1F2937"/>
      <x:name val="Carlito"/>
    </x:font>
  </x:fonts>
  <x:fills count="3">
    <x:fill>
      <x:patternFill patternType="none"/>
    </x:fill>
    <x:fill>
      <x:patternFill patternType="gray125"/>
    </x:fill>
    <x:fill>
      <x:patternFill patternType="solid">
        <x:fgColor rgb="FF166534"/>
      </x:patternFill>
    </x:fill>
  </x:fills>
  <x:borders count="4">
    <x:border/>
    <x:border>
      <x:bottom style="thin">
        <x:color rgb="FFD1D5DB"/>
      </x:bottom>
    </x:border>
    <x:border>
      <x:top style="thin">
        <x:color rgb="FFD1D5DB"/>
      </x:top>
      <x:bottom style="thin">
        <x:color rgb="FFD1D5DB"/>
      </x:bottom>
    </x:border>
    <x:border>
      <x:top style="thin">
        <x:color rgb="FFD1D5DB"/>
      </x:top>
      <x:bottom style="thin">
        <x:color rgb="FF9CA3AF"/>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top"/>
    </x:xf>
    <x:xf numFmtId="0" fontId="1" fillId="2" borderId="1" xfId="0" applyNumberFormat="1" applyFont="1" applyFill="1" applyBorder="1" applyAlignment="1">
      <x:alignment vertical="center"/>
    </x:xf>
    <x:xf numFmtId="0" fontId="2" fillId="0" borderId="2" xfId="0" applyNumberFormat="1" applyFont="1" applyFill="1" applyBorder="1" applyAlignment="1">
      <x:alignment vertical="top"/>
    </x:xf>
    <x:xf numFmtId="0" fontId="2" fillId="0" borderId="3" xfId="0" applyNumberFormat="1" applyFont="1" applyFill="1" applyBorder="1" applyAlignment="1">
      <x:alignment vertical="top"/>
    </x:xf>
    <x:xf numFmtId="200" fontId="2" fillId="0" borderId="2" xfId="0" applyNumberFormat="1" applyFont="1" applyFill="1" applyBorder="1" applyAlignment="1">
      <x:alignment vertical="top"/>
    </x:xf>
    <x:xf numFmtId="200" fontId="2" fillId="0" borderId="3" xfId="0" applyNumberFormat="1" applyFont="1" applyFill="1" applyBorder="1" applyAlignment="1">
      <x:alignment vertical="top"/>
    </x:xf>
    <x:xf numFmtId="201" fontId="2" fillId="0" borderId="2" xfId="0" applyNumberFormat="1" applyFont="1" applyFill="1" applyBorder="1" applyAlignment="1">
      <x:alignment vertical="top"/>
    </x:xf>
    <x:xf numFmtId="201" fontId="2" fillId="0" borderId="3" xfId="0" applyNumberFormat="1" applyFont="1" applyFill="1" applyBorder="1" applyAlignment="1">
      <x:alignment vertical="top"/>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2" xfId="0" applyNumberFormat="1" applyFont="1" applyFill="1" applyBorder="1" applyAlignment="1">
      <x:alignment vertical="top" wrapText="0"/>
    </x:xf>
    <x:xf numFmtId="0" fontId="2" fillId="0" borderId="3" xfId="0" applyNumberFormat="1" applyFont="1" applyFill="1" applyBorder="1" applyAlignment="1">
      <x:alignment vertical="top" wrapText="0"/>
    </x:xf>
  </x:cellXfs>
  <x:cellStyles count="1">
    <x:cellStyle name="Normal" xfId="0"/>
  </x:cellStyles>
  <x:dxfs count="2">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e44f411403545a3" /><Relationship Type="http://schemas.openxmlformats.org/officeDocument/2006/relationships/theme" Target="/xl/theme/theme1.xml" Id="Rd7236c65edba4afc" /><Relationship Type="http://schemas.openxmlformats.org/officeDocument/2006/relationships/sharedStrings" Target="/xl/sharedStrings.xml" Id="Rd9273bb4feca4fc0" /><Relationship Type="http://schemas.openxmlformats.org/officeDocument/2006/relationships/worksheet" Target="/xl/worksheets/sheet1.xml" Id="R7af1b0657c834eb1" /></Relationships>
</file>

<file path=xl/tables/table1.xml><?xml version="1.0" encoding="utf-8"?>
<x:table xmlns:x="http://schemas.openxmlformats.org/spreadsheetml/2006/main" id="1" name="MoUMaster" displayName="MoUMaster" ref="A1:K340" headerRowCount="1" totalsRowCount="0" totalsRowShown="0">
  <x:autoFilter ref="A1:K340"/>
  <x:tableColumns count="11">
    <x:tableColumn id="1" name="MoU ID"/>
    <x:tableColumn id="2" name="MoU Name"/>
    <x:tableColumn id="3" name="No"/>
    <x:tableColumn id="4" name="Partner"/>
    <x:tableColumn id="5" name="Country"/>
    <x:tableColumn id="6" name="Collaboration Scheme"/>
    <x:tableColumn id="7" name="Start Date"/>
    <x:tableColumn id="8" name="End Date"/>
    <x:tableColumn id="9" name="Duration"/>
    <x:tableColumn id="10" name="Status"/>
    <x:tableColumn id="11" name="Link Doc"/>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cd0d3c37cd649aa"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62" hidden="0" customWidth="1"/>
    <x:col min="3" max="3" width="8" hidden="0" customWidth="1"/>
    <x:col min="4" max="4" width="44" hidden="0" customWidth="1"/>
    <x:col min="5" max="5" width="20" hidden="0" customWidth="1"/>
    <x:col min="6" max="6" width="62" hidden="0" customWidth="1"/>
    <x:col min="7" max="7" width="16" hidden="0" customWidth="1"/>
    <x:col min="8" max="8" width="16" hidden="0" customWidth="1"/>
    <x:col min="9" max="9" width="32" hidden="0" customWidth="1"/>
    <x:col min="10" max="10" width="14" hidden="0" customWidth="1"/>
    <x:col min="11" max="11" width="78" hidden="0" customWidth="1"/>
  </x:cols>
  <x:sheetData>
    <x:row r="1" ht="30" customHeight="1">
      <x:c r="A1" s="6" t="str">
        <x:v>MoU ID</x:v>
      </x:c>
      <x:c r="B1" s="6" t="str">
        <x:v>MoU Name</x:v>
      </x:c>
      <x:c r="C1" s="6" t="str">
        <x:v>No</x:v>
      </x:c>
      <x:c r="D1" s="6" t="str">
        <x:v>Partner</x:v>
      </x:c>
      <x:c r="E1" s="6" t="str">
        <x:v>Country</x:v>
      </x:c>
      <x:c r="F1" s="6" t="str">
        <x:v>Collaboration Scheme</x:v>
      </x:c>
      <x:c r="G1" s="6" t="str">
        <x:v>Start Date</x:v>
      </x:c>
      <x:c r="H1" s="6" t="str">
        <x:v>End Date</x:v>
      </x:c>
      <x:c r="I1" s="6" t="str">
        <x:v>Duration</x:v>
      </x:c>
      <x:c r="J1" s="6" t="str">
        <x:v>Status</x:v>
      </x:c>
      <x:c r="K1" s="6" t="str">
        <x:v>Link Doc</x:v>
      </x:c>
    </x:row>
    <x:row r="2" ht="42" customHeight="1">
      <x:c r="A2" s="9" t="str">
        <x:v>MOU-2026-001</x:v>
      </x:c>
      <x:c r="B2" s="9" t="str">
        <x:v>MoU_Polytechnic University of the Philippines_Philippines_2026</x:v>
      </x:c>
      <x:c r="C2" s="7" t="n">
        <x:v>1</x:v>
      </x:c>
      <x:c r="D2" s="13" t="str">
        <x:v>Polytechnic University of the Philippines</x:v>
      </x:c>
      <x:c r="E2" s="13" t="str">
        <x:v>Philippines</x:v>
      </x:c>
      <x:c r="F2"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2" s="11" t="n">
        <x:v>46224.5</x:v>
      </x:c>
      <x:c r="H2" s="11" t="n">
        <x:v>48049.5</x:v>
      </x:c>
      <x:c r="I2" s="7" t="str">
        <x:f>TEXT(G2,"dd mmm yyyy")&amp;" – "&amp;TEXT(H2,"dd mmm yyyy")</x:f>
        <x:v>21 Jul 2026 – 20 Jul 2031</x:v>
      </x:c>
      <x:c r="J2" s="7" t="str">
        <x:f>IF(H2&lt;TODAY(),"Expired","Active")</x:f>
        <x:v>Active</x:v>
      </x:c>
      <x:c r="K2" s="15" t="str">
        <x:v>https://drive.google.com/file/d/1WI9gkFghqUxwD2I78sbnzPGvgOCbAWnf/view?usp=drive_link</x:v>
      </x:c>
    </x:row>
    <x:row r="3" ht="42" customHeight="1">
      <x:c r="A3" s="9" t="str">
        <x:v>MOU-2026-002</x:v>
      </x:c>
      <x:c r="B3" s="9" t="str">
        <x:v>MoU_Shinawatra University_Thailand_2026</x:v>
      </x:c>
      <x:c r="C3" s="7" t="n">
        <x:v>2</x:v>
      </x:c>
      <x:c r="D3" s="13" t="str">
        <x:v>Shinawatra University</x:v>
      </x:c>
      <x:c r="E3" s="13" t="str">
        <x:v>Thailand</x:v>
      </x:c>
      <x:c r="F3" s="13" t="str">
        <x:v>1) Academic Collaboration
2) Student Exchange Programs
3) Professional Development
4) Research Collaboration
5) Exchange of Knowledge and Resources
6) Sustainable Development Goals (SDG) Initiatives</x:v>
      </x:c>
      <x:c r="G3" s="11" t="n">
        <x:v>46220.5</x:v>
      </x:c>
      <x:c r="H3" s="11" t="n">
        <x:v>48045.5</x:v>
      </x:c>
      <x:c r="I3" s="7" t="str">
        <x:f>TEXT(G3,"dd mmm yyyy")&amp;" – "&amp;TEXT(H3,"dd mmm yyyy")</x:f>
        <x:v>17 Jul 2026 – 16 Jul 2031</x:v>
      </x:c>
      <x:c r="J3" s="7" t="str">
        <x:f>IF(H3&lt;TODAY(),"Expired","Active")</x:f>
        <x:v>Active</x:v>
      </x:c>
      <x:c r="K3" s="15" t="str">
        <x:v>https://drive.google.com/file/d/1R-f1NFpE04yC9MxieGXNexh4xzbhG0Oq/view?usp=drive_link</x:v>
      </x:c>
    </x:row>
    <x:row r="4" ht="42" customHeight="1">
      <x:c r="A4" s="9" t="str">
        <x:v>MOU-2026-003</x:v>
      </x:c>
      <x:c r="B4" s="9" t="str">
        <x:v>MoU_Jaipuria Institute of Management_India_2026</x:v>
      </x:c>
      <x:c r="C4" s="7" t="n">
        <x:v>3</x:v>
      </x:c>
      <x:c r="D4" s="13" t="str">
        <x:v>Jaipuria Institute of Management</x:v>
      </x:c>
      <x:c r="E4" s="13" t="str">
        <x:v>India</x:v>
      </x:c>
      <x:c r="F4"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4" s="11" t="n">
        <x:v>46211.5</x:v>
      </x:c>
      <x:c r="H4" s="11" t="n">
        <x:v>48036.5</x:v>
      </x:c>
      <x:c r="I4" s="7" t="str">
        <x:f>TEXT(G4,"dd mmm yyyy")&amp;" – "&amp;TEXT(H4,"dd mmm yyyy")</x:f>
        <x:v>08 Jul 2026 – 07 Jul 2031</x:v>
      </x:c>
      <x:c r="J4" s="7" t="str">
        <x:f>IF(H4&lt;TODAY(),"Expired","Active")</x:f>
        <x:v>Active</x:v>
      </x:c>
      <x:c r="K4" s="15" t="str">
        <x:v>https://drive.google.com/file/d/1DfZKBSCmDl7jGJJpdU2BbebcuauQkk1f/view?usp=drive_link</x:v>
      </x:c>
    </x:row>
    <x:row r="5" ht="42" customHeight="1">
      <x:c r="A5" s="9" t="str">
        <x:v>MOU-2026-004</x:v>
      </x:c>
      <x:c r="B5" s="9" t="str">
        <x:v>MoU_Asian Institute of Technology_Thailand_2026</x:v>
      </x:c>
      <x:c r="C5" s="7" t="n">
        <x:v>8</x:v>
      </x:c>
      <x:c r="D5" s="13" t="str">
        <x:v>Asian Institute of Technology</x:v>
      </x:c>
      <x:c r="E5" s="13" t="str">
        <x:v>Thailand</x:v>
      </x:c>
      <x:c r="F5" s="13" t="str">
        <x:v>1) Capacity Building Doctoral and Master's degree programs for the faculty/staff of UB.
2) International Bachelor's-Master's Unified program.
3) Joint organization of conferences, seminars, workshops, short courses and professional development training programs.
4) Joint activities on consultancy services and research.</x:v>
      </x:c>
      <x:c r="G5" s="11" t="n">
        <x:v>46210.5</x:v>
      </x:c>
      <x:c r="H5" s="11" t="n">
        <x:v>48035.5</x:v>
      </x:c>
      <x:c r="I5" s="7" t="str">
        <x:f>TEXT(G5,"dd mmm yyyy")&amp;" – "&amp;TEXT(H5,"dd mmm yyyy")</x:f>
        <x:v>07 Jul 2026 – 06 Jul 2031</x:v>
      </x:c>
      <x:c r="J5" s="7" t="str">
        <x:f>IF(H5&lt;TODAY(),"Expired","Active")</x:f>
        <x:v>Active</x:v>
      </x:c>
      <x:c r="K5" s="15" t="str">
        <x:v>https://drive.google.com/file/d/1i320OJwfOQ3A0Q8oPE1Fi5kI7X0JwqMq/view?usp=drive_link</x:v>
      </x:c>
    </x:row>
    <x:row r="6" ht="42" customHeight="1">
      <x:c r="A6" s="9" t="str">
        <x:v>MOU-2026-005</x:v>
      </x:c>
      <x:c r="B6" s="9" t="str">
        <x:v>MoU_Durban University of Technology_South Africa_2026</x:v>
      </x:c>
      <x:c r="C6" s="7" t="n">
        <x:v>11</x:v>
      </x:c>
      <x:c r="D6" s="13" t="str">
        <x:v>Durban University of Technology</x:v>
      </x:c>
      <x:c r="E6" s="13" t="str">
        <x:v>South Africa</x:v>
      </x:c>
      <x:c r="F6" s="13" t="str">
        <x:v>1) Research collaboration.
2) Exchange of faculty members and research personnel.
3) Exchange of academic information and materials, publications, research databases, and courseware.
4) Sharing of library resources.
5) Sponsoring and conducting joint conferences, seminars, colloquia, training programs, workshops and other academic meetings on matters of mutual interest.
6) Exchanges of students.</x:v>
      </x:c>
      <x:c r="G6" s="11" t="n">
        <x:v>46210.5</x:v>
      </x:c>
      <x:c r="H6" s="11" t="n">
        <x:v>48035.5</x:v>
      </x:c>
      <x:c r="I6" s="7" t="str">
        <x:f>TEXT(G6,"dd mmm yyyy")&amp;" – "&amp;TEXT(H6,"dd mmm yyyy")</x:f>
        <x:v>07 Jul 2026 – 06 Jul 2031</x:v>
      </x:c>
      <x:c r="J6" s="7" t="str">
        <x:f>IF(H6&lt;TODAY(),"Expired","Active")</x:f>
        <x:v>Active</x:v>
      </x:c>
      <x:c r="K6" s="15" t="str">
        <x:v>https://drive.google.com/file/d/1pNiwo23J6lISciFzrcth6fU_p9nX4KJ5/view?usp=drive_link</x:v>
      </x:c>
    </x:row>
    <x:row r="7" ht="42" customHeight="1">
      <x:c r="A7" s="9" t="str">
        <x:v>MOU-2026-006</x:v>
      </x:c>
      <x:c r="B7" s="9" t="str">
        <x:v>MoU_Nueva Vizcaya State University_Philippines_2026</x:v>
      </x:c>
      <x:c r="C7" s="7" t="n">
        <x:v>12</x:v>
      </x:c>
      <x:c r="D7" s="13" t="str">
        <x:v>Nueva Vizcaya State University</x:v>
      </x:c>
      <x:c r="E7" s="13" t="str">
        <x:v>Philippines</x:v>
      </x:c>
      <x:c r="F7" s="13" t="str">
        <x:v>1. Exchange of scientific information;
2. Cooperation regarding research, symposia and related activities;
3. Exchange of faculty and administrative staff;
4. Exchange of undergraduate and graduate students; and
5. Mutual contribution to the development of additional educational and research programs.</x:v>
      </x:c>
      <x:c r="G7" s="11" t="n">
        <x:v>46210.5</x:v>
      </x:c>
      <x:c r="H7" s="11" t="n">
        <x:v>48035.5</x:v>
      </x:c>
      <x:c r="I7" s="7" t="str">
        <x:f>TEXT(G7,"dd mmm yyyy")&amp;" – "&amp;TEXT(H7,"dd mmm yyyy")</x:f>
        <x:v>07 Jul 2026 – 06 Jul 2031</x:v>
      </x:c>
      <x:c r="J7" s="7" t="str">
        <x:f>IF(H7&lt;TODAY(),"Expired","Active")</x:f>
        <x:v>Active</x:v>
      </x:c>
      <x:c r="K7" s="15" t="str">
        <x:v>https://drive.google.com/file/d/1TVQ6tTPJB9YBg_oSbZiT--REqcNl3R8-/view?usp=drive_link</x:v>
      </x:c>
    </x:row>
    <x:row r="8" ht="42" customHeight="1">
      <x:c r="A8" s="9" t="str">
        <x:v>MOU-2026-007</x:v>
      </x:c>
      <x:c r="B8" s="9" t="str">
        <x:v>MoU_Philippine College of Science and Technology_Philippines_2026</x:v>
      </x:c>
      <x:c r="C8" s="7" t="n">
        <x:v>7</x:v>
      </x:c>
      <x:c r="D8" s="13" t="str">
        <x:v>Philippine College of Science and Technology</x:v>
      </x:c>
      <x:c r="E8" s="13" t="str">
        <x:v>Philippines</x:v>
      </x:c>
      <x:c r="F8"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8" s="11" t="n">
        <x:v>46210.5</x:v>
      </x:c>
      <x:c r="H8" s="11" t="n">
        <x:v>48035.5</x:v>
      </x:c>
      <x:c r="I8" s="7" t="str">
        <x:f>TEXT(G8,"dd mmm yyyy")&amp;" – "&amp;TEXT(H8,"dd mmm yyyy")</x:f>
        <x:v>07 Jul 2026 – 06 Jul 2031</x:v>
      </x:c>
      <x:c r="J8" s="7" t="str">
        <x:f>IF(H8&lt;TODAY(),"Expired","Active")</x:f>
        <x:v>Active</x:v>
      </x:c>
      <x:c r="K8" s="15" t="str">
        <x:v>https://drive.google.com/file/d/16RkJoVI_72gCxs0C2bUA7BjDHc8gqw1U/view?usp=drive_link</x:v>
      </x:c>
    </x:row>
    <x:row r="9" ht="42" customHeight="1">
      <x:c r="A9" s="9" t="str">
        <x:v>MOU-2026-008</x:v>
      </x:c>
      <x:c r="B9" s="9" t="str">
        <x:v>MoU_Sorsogon State University_Philippines_2026</x:v>
      </x:c>
      <x:c r="C9" s="7" t="n">
        <x:v>5</x:v>
      </x:c>
      <x:c r="D9" s="13" t="str">
        <x:v>Sorsogon State University</x:v>
      </x:c>
      <x:c r="E9" s="13" t="str">
        <x:v>Philippines</x:v>
      </x:c>
      <x:c r="F9"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9" s="11" t="n">
        <x:v>46210.5</x:v>
      </x:c>
      <x:c r="H9" s="11" t="n">
        <x:v>48035.5</x:v>
      </x:c>
      <x:c r="I9" s="7" t="str">
        <x:f>TEXT(G9,"dd mmm yyyy")&amp;" – "&amp;TEXT(H9,"dd mmm yyyy")</x:f>
        <x:v>07 Jul 2026 – 06 Jul 2031</x:v>
      </x:c>
      <x:c r="J9" s="7" t="str">
        <x:f>IF(H9&lt;TODAY(),"Expired","Active")</x:f>
        <x:v>Active</x:v>
      </x:c>
      <x:c r="K9" s="15" t="str">
        <x:v>https://drive.google.com/file/d/1WYAKOTzAKDIOnqp-b2e0vbwUi9yQ4j-4/view?usp=drive_link</x:v>
      </x:c>
    </x:row>
    <x:row r="10" ht="42" customHeight="1">
      <x:c r="A10" s="9" t="str">
        <x:v>MOU-2026-009</x:v>
      </x:c>
      <x:c r="B10" s="9" t="str">
        <x:v>MoU_Southern Leyte State University_Philippines_2026</x:v>
      </x:c>
      <x:c r="C10" s="7" t="n">
        <x:v>9</x:v>
      </x:c>
      <x:c r="D10" s="13" t="str">
        <x:v>Southern Leyte State University</x:v>
      </x:c>
      <x:c r="E10" s="13" t="str">
        <x:v>Philippines</x:v>
      </x:c>
      <x:c r="F10" s="13" t="str">
        <x:v>1) Exchange of students, faculty, or administrative staff;
2) Exchange of research;
3) Exchange of academic information and materials;
4) Joint research activities;
5) Joint lectures and symposia; and
6) Other forms of collaboration that are academic or cultural in nature.</x:v>
      </x:c>
      <x:c r="G10" s="11" t="n">
        <x:v>46210.5</x:v>
      </x:c>
      <x:c r="H10" s="11" t="n">
        <x:v>48035.5</x:v>
      </x:c>
      <x:c r="I10" s="7" t="str">
        <x:f>TEXT(G10,"dd mmm yyyy")&amp;" – "&amp;TEXT(H10,"dd mmm yyyy")</x:f>
        <x:v>07 Jul 2026 – 06 Jul 2031</x:v>
      </x:c>
      <x:c r="J10" s="7" t="str">
        <x:f>IF(H10&lt;TODAY(),"Expired","Active")</x:f>
        <x:v>Active</x:v>
      </x:c>
      <x:c r="K10" s="15" t="str">
        <x:v>https://drive.google.com/file/d/1U0epUcf88do365nMcLskJe5Nr9X8EeIs/view?usp=drive_link</x:v>
      </x:c>
    </x:row>
    <x:row r="11" ht="42" customHeight="1">
      <x:c r="A11" s="9" t="str">
        <x:v>MOU-2026-010</x:v>
      </x:c>
      <x:c r="B11" s="9" t="str">
        <x:v>MoU_University of Rwanda_Rwanda_2026</x:v>
      </x:c>
      <x:c r="C11" s="7" t="n">
        <x:v>10</x:v>
      </x:c>
      <x:c r="D11" s="13" t="str">
        <x:v>University of Rwanda</x:v>
      </x:c>
      <x:c r="E11" s="13" t="str">
        <x:v>Rwanda</x:v>
      </x:c>
      <x:c r="F11"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11" s="11" t="n">
        <x:v>46210.5</x:v>
      </x:c>
      <x:c r="H11" s="11" t="n">
        <x:v>48035.5</x:v>
      </x:c>
      <x:c r="I11" s="7" t="str">
        <x:f>TEXT(G11,"dd mmm yyyy")&amp;" – "&amp;TEXT(H11,"dd mmm yyyy")</x:f>
        <x:v>07 Jul 2026 – 06 Jul 2031</x:v>
      </x:c>
      <x:c r="J11" s="7" t="str">
        <x:f>IF(H11&lt;TODAY(),"Expired","Active")</x:f>
        <x:v>Active</x:v>
      </x:c>
      <x:c r="K11" s="15" t="str">
        <x:v>https://drive.google.com/file/d/1d6Y86maStsehTiH_DEgDiqMd34iOD8AG/view?usp=drive_link</x:v>
      </x:c>
    </x:row>
    <x:row r="12" ht="42" customHeight="1">
      <x:c r="A12" s="9" t="str">
        <x:v>MOU-2026-011</x:v>
      </x:c>
      <x:c r="B12" s="9" t="str">
        <x:v>MoU_University of the Visayas_Philippines_2026</x:v>
      </x:c>
      <x:c r="C12" s="7" t="n">
        <x:v>4</x:v>
      </x:c>
      <x:c r="D12" s="13" t="str">
        <x:v>University of the Visayas</x:v>
      </x:c>
      <x:c r="E12" s="13" t="str">
        <x:v>Philippines</x:v>
      </x:c>
      <x:c r="F12"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12" s="11" t="n">
        <x:v>46210.5</x:v>
      </x:c>
      <x:c r="H12" s="11" t="n">
        <x:v>48035.5</x:v>
      </x:c>
      <x:c r="I12" s="7" t="str">
        <x:f>TEXT(G12,"dd mmm yyyy")&amp;" – "&amp;TEXT(H12,"dd mmm yyyy")</x:f>
        <x:v>07 Jul 2026 – 06 Jul 2031</x:v>
      </x:c>
      <x:c r="J12" s="7" t="str">
        <x:f>IF(H12&lt;TODAY(),"Expired","Active")</x:f>
        <x:v>Active</x:v>
      </x:c>
      <x:c r="K12" s="15" t="str">
        <x:v>https://drive.google.com/file/d/1WzQ2KxaM71iNmdvHZEEVLl0L1Okni-GO/view?usp=drive_link</x:v>
      </x:c>
    </x:row>
    <x:row r="13" ht="42" customHeight="1">
      <x:c r="A13" s="9" t="str">
        <x:v>MOU-2026-012</x:v>
      </x:c>
      <x:c r="B13" s="9" t="str">
        <x:v>MoU_Uttara University_Bangladesh_2026</x:v>
      </x:c>
      <x:c r="C13" s="7" t="n">
        <x:v>6</x:v>
      </x:c>
      <x:c r="D13" s="13" t="str">
        <x:v>Uttara University</x:v>
      </x:c>
      <x:c r="E13" s="13" t="str">
        <x:v>Bangladesh</x:v>
      </x:c>
      <x:c r="F13"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13" s="11" t="n">
        <x:v>46210.5</x:v>
      </x:c>
      <x:c r="H13" s="11" t="n">
        <x:v>48035.5</x:v>
      </x:c>
      <x:c r="I13" s="7" t="str">
        <x:f>TEXT(G13,"dd mmm yyyy")&amp;" – "&amp;TEXT(H13,"dd mmm yyyy")</x:f>
        <x:v>07 Jul 2026 – 06 Jul 2031</x:v>
      </x:c>
      <x:c r="J13" s="7" t="str">
        <x:f>IF(H13&lt;TODAY(),"Expired","Active")</x:f>
        <x:v>Active</x:v>
      </x:c>
      <x:c r="K13" s="15" t="str">
        <x:v>https://drive.google.com/file/d/1U8FK0mBd2zr-9Ekhi6xwx2s03IIlbZ0Q/view?usp=drive_link</x:v>
      </x:c>
    </x:row>
    <x:row r="14" ht="42" customHeight="1">
      <x:c r="A14" s="9" t="str">
        <x:v>MOU-2026-013</x:v>
      </x:c>
      <x:c r="B14" s="9" t="str">
        <x:v>MoU_L'Universite Polytechnique Hauts-de-France (UPHF) and L'Institut National des Sciences Appliquées Hauts-de-France (INSA HdF)_France_2026</x:v>
      </x:c>
      <x:c r="C14" s="7" t="n">
        <x:v>13</x:v>
      </x:c>
      <x:c r="D14" s="13" t="str">
        <x:v>L'Universite Polytechnique Hauts-de-France (UPHF) and L'Institut National des Sciences Appliquées Hauts-de-France (INSA HdF)</x:v>
      </x:c>
      <x:c r="E14" s="13" t="str">
        <x:v>France</x:v>
      </x:c>
      <x:c r="F14" s="13" t="str">
        <x:v>a) Establish a cooperation plan between relevant faculties and departments of the three institutions;
b) Develop a reciprocal mobility scheme for students and staff, introducing structured outgoing mobility from UPHF and INSA HdF, including teaching mobility;
c) Develop research exchange activities and joint research initiatives between the three institutions;
d) Write joint project proposals, including in the context of European or bilateral funding calls;
e) Evolve the existing cooperation scheme towards a more balanced and reciprocal model, enhancing academic integration among the three institutions.</x:v>
      </x:c>
      <x:c r="G14" s="11" t="n">
        <x:v>46206.5</x:v>
      </x:c>
      <x:c r="H14" s="11" t="n">
        <x:v>46936.5</x:v>
      </x:c>
      <x:c r="I14" s="7" t="str">
        <x:f>TEXT(G14,"dd mmm yyyy")&amp;" – "&amp;TEXT(H14,"dd mmm yyyy")</x:f>
        <x:v>03 Jul 2026 – 02 Jul 2028</x:v>
      </x:c>
      <x:c r="J14" s="7" t="str">
        <x:f>IF(H14&lt;TODAY(),"Expired","Active")</x:f>
        <x:v>Active</x:v>
      </x:c>
      <x:c r="K14" s="15" t="str">
        <x:v>https://drive.google.com/file/d/1vnqrlUKazt9MApAizRD4MpmepWQ1jPIS/view?usp=drive_link</x:v>
      </x:c>
    </x:row>
    <x:row r="15" ht="42" customHeight="1">
      <x:c r="A15" s="9" t="str">
        <x:v>MOU-2026-014</x:v>
      </x:c>
      <x:c r="B15" s="9" t="str">
        <x:v>MoU_IBSUniversity_Papua New Guinea_2026</x:v>
      </x:c>
      <x:c r="C15" s="7" t="n">
        <x:v>14</x:v>
      </x:c>
      <x:c r="D15" s="13" t="str">
        <x:v>IBSUniversity</x:v>
      </x:c>
      <x:c r="E15" s="13" t="str">
        <x:v>Papua New Guinea</x:v>
      </x:c>
      <x:c r="F15"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15" s="11" t="n">
        <x:v>46198.5</x:v>
      </x:c>
      <x:c r="H15" s="11" t="n">
        <x:v>48023.5</x:v>
      </x:c>
      <x:c r="I15" s="7" t="str">
        <x:f>TEXT(G15,"dd mmm yyyy")&amp;" – "&amp;TEXT(H15,"dd mmm yyyy")</x:f>
        <x:v>25 Jun 2026 – 24 Jun 2031</x:v>
      </x:c>
      <x:c r="J15" s="7" t="str">
        <x:f>IF(H15&lt;TODAY(),"Expired","Active")</x:f>
        <x:v>Active</x:v>
      </x:c>
      <x:c r="K15" s="15" t="str">
        <x:v>https://drive.google.com/file/d/1kTPgzhjiAXYTUqzSP1UYgxlukcZPHEY9/view?usp=drive_link</x:v>
      </x:c>
    </x:row>
    <x:row r="16" ht="42" customHeight="1">
      <x:c r="A16" s="9" t="str">
        <x:v>MOU-2026-015</x:v>
      </x:c>
      <x:c r="B16" s="9" t="str">
        <x:v>MoU_SRM University, Andhra Pradesh_India_2026</x:v>
      </x:c>
      <x:c r="C16" s="7" t="n">
        <x:v>15</x:v>
      </x:c>
      <x:c r="D16" s="13" t="str">
        <x:v>SRM University, Andhra Pradesh</x:v>
      </x:c>
      <x:c r="E16" s="13" t="str">
        <x:v>India</x:v>
      </x:c>
      <x:c r="F16" s="13" t="str">
        <x:v>a) Exchange of faculty
b) Joint research project
c) Joint conferences
d) Joint cultural program
e) Admissions into Masters</x:v>
      </x:c>
      <x:c r="G16" s="11" t="n">
        <x:v>46183.5</x:v>
      </x:c>
      <x:c r="H16" s="11" t="n">
        <x:v>47278.5</x:v>
      </x:c>
      <x:c r="I16" s="7" t="str">
        <x:f>TEXT(G16,"dd mmm yyyy")&amp;" – "&amp;TEXT(H16,"dd mmm yyyy")</x:f>
        <x:v>10 Jun 2026 – 09 Jun 2029</x:v>
      </x:c>
      <x:c r="J16" s="7" t="str">
        <x:f>IF(H16&lt;TODAY(),"Expired","Active")</x:f>
        <x:v>Active</x:v>
      </x:c>
      <x:c r="K16" s="15" t="str">
        <x:v>https://drive.google.com/file/d/1cNJkulBSfzZkA3kvfNqzbPA7NgE2AXAM/view?usp=drive_link</x:v>
      </x:c>
    </x:row>
    <x:row r="17" ht="42" customHeight="1">
      <x:c r="A17" s="9" t="str">
        <x:v>MOU-2026-016</x:v>
      </x:c>
      <x:c r="B17" s="9" t="str">
        <x:v>MoU_Universiti Muhammadiyah Malaysia_Malaysia_2026</x:v>
      </x:c>
      <x:c r="C17" s="7" t="n">
        <x:v>16</x:v>
      </x:c>
      <x:c r="D17" s="13" t="str">
        <x:v>Universiti Muhammadiyah Malaysia</x:v>
      </x:c>
      <x:c r="E17" s="13" t="str">
        <x:v>Malaysia</x:v>
      </x:c>
      <x:c r="F17" s="13" t="str">
        <x:v>1) To develop collaborative and joint research project.
2) To support mutual researcher, lecturer and student visit and exchange.
3) To initiate collaborative student supervision for undergraduate and/or graduate research and encourage student exchange, training and research.
4) To exchange scientific information in the form of publications, instruction materials and other results of teaching and research.
5) To encourage joint paper publication and co-organization of symposium/seminar/workshop.</x:v>
      </x:c>
      <x:c r="G17" s="11" t="n">
        <x:v>46182.5</x:v>
      </x:c>
      <x:c r="H17" s="11" t="n">
        <x:v>48007.5</x:v>
      </x:c>
      <x:c r="I17" s="7" t="str">
        <x:f>TEXT(G17,"dd mmm yyyy")&amp;" – "&amp;TEXT(H17,"dd mmm yyyy")</x:f>
        <x:v>09 Jun 2026 – 08 Jun 2031</x:v>
      </x:c>
      <x:c r="J17" s="7" t="str">
        <x:f>IF(H17&lt;TODAY(),"Expired","Active")</x:f>
        <x:v>Active</x:v>
      </x:c>
      <x:c r="K17" s="15" t="str">
        <x:v>https://drive.google.com/file/d/1DW2nrh3kFznGOvXgXRb8rXaHHGD1_wjF/view?usp=drive_link</x:v>
      </x:c>
    </x:row>
    <x:row r="18" ht="42" customHeight="1">
      <x:c r="A18" s="9" t="str">
        <x:v>MOU-2026-017</x:v>
      </x:c>
      <x:c r="B18" s="9" t="str">
        <x:v>MoU_Sahmyook University_South Korea_2026</x:v>
      </x:c>
      <x:c r="C18" s="7" t="n">
        <x:v>17</x:v>
      </x:c>
      <x:c r="D18" s="13" t="str">
        <x:v>Sahmyook University</x:v>
      </x:c>
      <x:c r="E18" s="13" t="str">
        <x:v>South Korea</x:v>
      </x:c>
      <x:c r="F18" s="13" t="str">
        <x:v>1) Exchange of suitably qualified students for language and/or formal study as international students.
2) Exchange of faculty and staff in the areas of their expertise.
3) Assistance in development of academic and professional programs.
4) Exchange of publications and research reports.</x:v>
      </x:c>
      <x:c r="G18" s="11" t="n">
        <x:v>46177.5</x:v>
      </x:c>
      <x:c r="H18" s="11" t="n">
        <x:v>48002.5</x:v>
      </x:c>
      <x:c r="I18" s="7" t="str">
        <x:f>TEXT(G18,"dd mmm yyyy")&amp;" – "&amp;TEXT(H18,"dd mmm yyyy")</x:f>
        <x:v>04 Jun 2026 – 03 Jun 2031</x:v>
      </x:c>
      <x:c r="J18" s="7" t="str">
        <x:f>IF(H18&lt;TODAY(),"Expired","Active")</x:f>
        <x:v>Active</x:v>
      </x:c>
      <x:c r="K18" s="15" t="str">
        <x:v>https://drive.google.com/file/d/1SkVCx6575SWcRGASL_U1GmJqUPVY5bhK/view?usp=drive_link</x:v>
      </x:c>
    </x:row>
    <x:row r="19" ht="42" customHeight="1">
      <x:c r="A19" s="9" t="str">
        <x:v>MOU-2026-018</x:v>
      </x:c>
      <x:c r="B19" s="9" t="str">
        <x:v>MoU_Institute of Pacific United_New Zealand_2026</x:v>
      </x:c>
      <x:c r="C19" s="7" t="n">
        <x:v>18</x:v>
      </x:c>
      <x:c r="D19" s="13" t="str">
        <x:v>Institute of Pacific United</x:v>
      </x:c>
      <x:c r="E19" s="13" t="str">
        <x:v>New Zealand</x:v>
      </x:c>
      <x:c r="F19" s="13" t="str">
        <x:v>1) Double/dual degree program;
2) Exchange of faculty and/or staff;
3) Exchange of graduate and/or undergraduate student;
4) Exchange of scientific material, publication, and information;
5) Exchange of cultural activity;
6) Joint conferences and academic program; and/or
7) Joint research activity and publication</x:v>
      </x:c>
      <x:c r="G19" s="11" t="n">
        <x:v>46171.5</x:v>
      </x:c>
      <x:c r="H19" s="11" t="n">
        <x:v>47996.5</x:v>
      </x:c>
      <x:c r="I19" s="7" t="str">
        <x:f>TEXT(G19,"dd mmm yyyy")&amp;" – "&amp;TEXT(H19,"dd mmm yyyy")</x:f>
        <x:v>29 May 2026 – 28 May 2031</x:v>
      </x:c>
      <x:c r="J19" s="7" t="str">
        <x:f>IF(H19&lt;TODAY(),"Expired","Active")</x:f>
        <x:v>Active</x:v>
      </x:c>
      <x:c r="K19" s="15" t="str">
        <x:v>https://drive.google.com/file/d/15Yb7rEMUbiE-SxmW28NBX3w7H0tMWcfr/view?usp=drive_link</x:v>
      </x:c>
    </x:row>
    <x:row r="20" ht="42" customHeight="1">
      <x:c r="A20" s="9" t="str">
        <x:v>MOU-2026-019</x:v>
      </x:c>
      <x:c r="B20" s="9" t="str">
        <x:v>MoU_Ho Chi Minh City Open University_Vietnam_2026</x:v>
      </x:c>
      <x:c r="C20" s="7" t="n">
        <x:v>19</x:v>
      </x:c>
      <x:c r="D20" s="13" t="str">
        <x:v>Ho Chi Minh City Open University</x:v>
      </x:c>
      <x:c r="E20" s="13" t="str">
        <x:v>Vietnam</x:v>
      </x:c>
      <x:c r="F20" s="13" t="str">
        <x:v>1) Coordination in accademic activities, including joint programs, credit transfer and regconition;
2) Cooperation in research, conferences, and co-author in publications;
3) Cooperation in capacity building, promoting multiculturalism and sustainable development goals;
4) Exchange of faculty/staff members and students;
5) Exchange of information, documentation and materials;
6) Other activities based on the agreement between the two institutions.</x:v>
      </x:c>
      <x:c r="G20" s="11" t="n">
        <x:v>46161.5</x:v>
      </x:c>
      <x:c r="H20" s="11" t="n">
        <x:v>47986.5</x:v>
      </x:c>
      <x:c r="I20" s="7" t="str">
        <x:f>TEXT(G20,"dd mmm yyyy")&amp;" – "&amp;TEXT(H20,"dd mmm yyyy")</x:f>
        <x:v>19 May 2026 – 18 May 2031</x:v>
      </x:c>
      <x:c r="J20" s="7" t="str">
        <x:f>IF(H20&lt;TODAY(),"Expired","Active")</x:f>
        <x:v>Active</x:v>
      </x:c>
      <x:c r="K20" s="15" t="str">
        <x:v>https://drive.google.com/file/d/1IYXq1WN8GZw_MbPMfDla73DrcLcyRaRj/view?usp=drive_link</x:v>
      </x:c>
    </x:row>
    <x:row r="21" ht="42" customHeight="1">
      <x:c r="A21" s="9" t="str">
        <x:v>MOU-2026-020</x:v>
      </x:c>
      <x:c r="B21" s="9" t="str">
        <x:v>MoU_Karabuk University_Turkiye_2026</x:v>
      </x:c>
      <x:c r="C21" s="7" t="n">
        <x:v>20</x:v>
      </x:c>
      <x:c r="D21" s="13" t="str">
        <x:v>Karabuk University</x:v>
      </x:c>
      <x:c r="E21" s="13" t="str">
        <x:v>Turkiye</x:v>
      </x:c>
      <x:c r="F21" s="13" t="str">
        <x:v>1) Exchange of scholars,
2) Joint research projects,
3) Joint teaching and/or supervision of students,
4) Joint participation in workshops and/or conference days,
5) Student mobility and students exchange programs to be decided by the parties and
6) Participation of students in study abroad programs hosted by each institution.</x:v>
      </x:c>
      <x:c r="G21" s="11" t="n">
        <x:v>46160.5</x:v>
      </x:c>
      <x:c r="H21" s="11" t="n">
        <x:v>47985.5</x:v>
      </x:c>
      <x:c r="I21" s="7" t="str">
        <x:f>TEXT(G21,"dd mmm yyyy")&amp;" – "&amp;TEXT(H21,"dd mmm yyyy")</x:f>
        <x:v>18 May 2026 – 17 May 2031</x:v>
      </x:c>
      <x:c r="J21" s="7" t="str">
        <x:f>IF(H21&lt;TODAY(),"Expired","Active")</x:f>
        <x:v>Active</x:v>
      </x:c>
      <x:c r="K21" s="15" t="str">
        <x:v>https://drive.google.com/file/d/1oPMw7dE-oS7yJX6MGTAzHulnoMDFMcts/view?usp=drive_link</x:v>
      </x:c>
    </x:row>
    <x:row r="22" ht="42" customHeight="1">
      <x:c r="A22" s="9" t="str">
        <x:v>MOU-2026-021</x:v>
      </x:c>
      <x:c r="B22" s="9" t="str">
        <x:v>MoU_King Mongkut’s University of Technology North Bangkok_Thailand_2026</x:v>
      </x:c>
      <x:c r="C22" s="7" t="n">
        <x:v>21</x:v>
      </x:c>
      <x:c r="D22" s="13" t="str">
        <x:v>King Mongkut’s University of Technology North Bangkok</x:v>
      </x:c>
      <x:c r="E22" s="13" t="str">
        <x:v>Thailand</x:v>
      </x:c>
      <x:c r="F22" s="13" t="str">
        <x:v>a) Exchange of faculty and staff.
b) Exchange of graduate and undergraduate students.
c) Exchange of scientific material, publications, and information.
d) Exchange of cultural activities.
e) Joint conferences and academic programmes.
f) Joint research activities and publications.</x:v>
      </x:c>
      <x:c r="G22" s="11" t="n">
        <x:v>46160.5</x:v>
      </x:c>
      <x:c r="H22" s="11" t="n">
        <x:v>47255.5</x:v>
      </x:c>
      <x:c r="I22" s="7" t="str">
        <x:f>TEXT(G22,"dd mmm yyyy")&amp;" – "&amp;TEXT(H22,"dd mmm yyyy")</x:f>
        <x:v>18 May 2026 – 17 May 2029</x:v>
      </x:c>
      <x:c r="J22" s="7" t="str">
        <x:f>IF(H22&lt;TODAY(),"Expired","Active")</x:f>
        <x:v>Active</x:v>
      </x:c>
      <x:c r="K22" s="15" t="str">
        <x:v>https://drive.google.com/file/d/1xQQBmZ1Ph2WCn-pNCyWco3chQh3kjo9G/view?usp=drive_link</x:v>
      </x:c>
    </x:row>
    <x:row r="23" ht="42" customHeight="1">
      <x:c r="A23" s="9" t="str">
        <x:v>MOU-2026-022</x:v>
      </x:c>
      <x:c r="B23" s="9" t="str">
        <x:v>MoU_Universiti Sains Malaysia_Malaysia_2026</x:v>
      </x:c>
      <x:c r="C23" s="7" t="n">
        <x:v>23</x:v>
      </x:c>
      <x:c r="D23" s="13" t="str">
        <x:v>Universiti Sains Malaysia</x:v>
      </x:c>
      <x:c r="E23" s="13" t="str">
        <x:v>Malaysia</x:v>
      </x:c>
      <x:c r="F23"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23" s="11" t="n">
        <x:v>46160.5</x:v>
      </x:c>
      <x:c r="H23" s="11" t="n">
        <x:v>47985.5</x:v>
      </x:c>
      <x:c r="I23" s="7" t="str">
        <x:f>TEXT(G23,"dd mmm yyyy")&amp;" – "&amp;TEXT(H23,"dd mmm yyyy")</x:f>
        <x:v>18 May 2026 – 17 May 2031</x:v>
      </x:c>
      <x:c r="J23" s="7" t="str">
        <x:f>IF(H23&lt;TODAY(),"Expired","Active")</x:f>
        <x:v>Active</x:v>
      </x:c>
      <x:c r="K23" s="15" t="str">
        <x:v>https://drive.google.com/file/d/18g-30ieCGPn5-QHaEdyJYjDGjJJQOKwp/view?usp=drive_link</x:v>
      </x:c>
    </x:row>
    <x:row r="24" ht="42" customHeight="1">
      <x:c r="A24" s="9" t="str">
        <x:v>MOU-2026-023</x:v>
      </x:c>
      <x:c r="B24" s="9" t="str">
        <x:v>MoU_Westcliff University_America! US_2026</x:v>
      </x:c>
      <x:c r="C24" s="7" t="n">
        <x:v>22</x:v>
      </x:c>
      <x:c r="D24" s="13" t="str">
        <x:v>Westcliff University</x:v>
      </x:c>
      <x:c r="E24" s="13" t="str">
        <x:v>America! US</x:v>
      </x:c>
      <x:c r="F24" s="13" t="str">
        <x:v>Exchange of faculty, staff members, and students for research, teaching and study</x:v>
      </x:c>
      <x:c r="G24" s="11" t="n">
        <x:v>46160.5</x:v>
      </x:c>
      <x:c r="H24" s="11" t="n">
        <x:v>47255.5</x:v>
      </x:c>
      <x:c r="I24" s="7" t="str">
        <x:f>TEXT(G24,"dd mmm yyyy")&amp;" – "&amp;TEXT(H24,"dd mmm yyyy")</x:f>
        <x:v>18 May 2026 – 17 May 2029</x:v>
      </x:c>
      <x:c r="J24" s="7" t="str">
        <x:f>IF(H24&lt;TODAY(),"Expired","Active")</x:f>
        <x:v>Active</x:v>
      </x:c>
      <x:c r="K24" s="15" t="str">
        <x:v>https://drive.google.com/file/d/1-QGdRWso1P4VsjoJON75w4uJoeTn0aPA/view?usp=drive_link</x:v>
      </x:c>
    </x:row>
    <x:row r="25" ht="42" customHeight="1">
      <x:c r="A25" s="9" t="str">
        <x:v>MOU-2026-024</x:v>
      </x:c>
      <x:c r="B25" s="9" t="str">
        <x:v>MoU_JSC Positive Technologies_Russia_2026</x:v>
      </x:c>
      <x:c r="C25" s="7" t="n">
        <x:v>24</x:v>
      </x:c>
      <x:c r="D25" s="13" t="str">
        <x:v>JSC Positive Technologies</x:v>
      </x:c>
      <x:c r="E25" s="13" t="str">
        <x:v>Russia</x:v>
      </x:c>
      <x:c r="F25" s="13" t="str">
        <x:v>a. Cooperation of Universitas Brawijaya and POSITIVE TECHNOLOGIES on educational projects
b. Support in establishing cybersecurity academy at Universitas Brawijaya for practical training
c. Support in establishing cybersecurity learning center at Universitas Brawijaya for training and certification
d. Training of faculty members in cybersecurity domains
e. Development of elective university-level courses in cybersecurity domains
f. Transfer and implementation of the EdTechLab cyber simulation platform</x:v>
      </x:c>
      <x:c r="G25" s="11" t="n">
        <x:v>46156.5</x:v>
      </x:c>
      <x:c r="H25" s="11" t="n">
        <x:v>47981.5</x:v>
      </x:c>
      <x:c r="I25" s="7" t="str">
        <x:f>TEXT(G25,"dd mmm yyyy")&amp;" – "&amp;TEXT(H25,"dd mmm yyyy")</x:f>
        <x:v>14 May 2026 – 13 May 2031</x:v>
      </x:c>
      <x:c r="J25" s="7" t="str">
        <x:f>IF(H25&lt;TODAY(),"Expired","Active")</x:f>
        <x:v>Active</x:v>
      </x:c>
      <x:c r="K25" s="15" t="str">
        <x:v>https://drive.google.com/file/d/1r7Vy1iSmula3NNa-_Of_pWWejakn7SGf/view?usp=drive_link</x:v>
      </x:c>
    </x:row>
    <x:row r="26" ht="42" customHeight="1">
      <x:c r="A26" s="9" t="str">
        <x:v>MOU-2026-025</x:v>
      </x:c>
      <x:c r="B26" s="9" t="str">
        <x:v>MoU_Kansas State University_America! US_2026</x:v>
      </x:c>
      <x:c r="C26" s="7" t="n">
        <x:v>25</x:v>
      </x:c>
      <x:c r="D26" s="13" t="str">
        <x:v>Kansas State University</x:v>
      </x:c>
      <x:c r="E26" s="13" t="str">
        <x:v>America! US</x:v>
      </x:c>
      <x:c r="F26" s="13" t="str">
        <x:v>1) Exchange of scholars and students, both undergraduate and graduate; and
2) Research collaboration in the areas of mutual interest to both parties.
3) The exchange of professors for lectures and short term visits.
4) Invitations to scholars for participation in conferences, symposia and instruction.
5) Exchange of information, academic materials and publications in fields of mutual interest.
6) Facilitating the mobility of students, through exchange and visits, between the two universities.</x:v>
      </x:c>
      <x:c r="G26" s="11" t="n">
        <x:v>46128.5</x:v>
      </x:c>
      <x:c r="H26" s="11" t="n">
        <x:v>47953.5</x:v>
      </x:c>
      <x:c r="I26" s="7" t="str">
        <x:f>TEXT(G26,"dd mmm yyyy")&amp;" – "&amp;TEXT(H26,"dd mmm yyyy")</x:f>
        <x:v>16 Apr 2026 – 15 Apr 2031</x:v>
      </x:c>
      <x:c r="J26" s="7" t="str">
        <x:f>IF(H26&lt;TODAY(),"Expired","Active")</x:f>
        <x:v>Active</x:v>
      </x:c>
      <x:c r="K26" s="15" t="str">
        <x:v>https://drive.google.com/file/d/1TjDp37CfqdY9OeyPfdd2VDTTIT3OMj6q/view?usp=drive_link</x:v>
      </x:c>
    </x:row>
    <x:row r="27" ht="42" customHeight="1">
      <x:c r="A27" s="9" t="str">
        <x:v>MOU-2026-026</x:v>
      </x:c>
      <x:c r="B27" s="9" t="str">
        <x:v>MoU_Bulacan Agricultural State College_Philippines_2026</x:v>
      </x:c>
      <x:c r="C27" s="7" t="n">
        <x:v>26</x:v>
      </x:c>
      <x:c r="D27" s="13" t="str">
        <x:v>Bulacan Agricultural State College</x:v>
      </x:c>
      <x:c r="E27" s="13" t="str">
        <x:v>Philippines</x:v>
      </x:c>
      <x:c r="F27" s="13" t="str">
        <x:v>Pre-Service Student Teacher Exchange in Southeast Asia Programme (SEA-TEACHER PROGRAMME)</x:v>
      </x:c>
      <x:c r="G27" s="11" t="n">
        <x:v>46121.5</x:v>
      </x:c>
      <x:c r="H27" s="11" t="n">
        <x:v>46485.5</x:v>
      </x:c>
      <x:c r="I27" s="7" t="str">
        <x:f>TEXT(G27,"dd mmm yyyy")&amp;" – "&amp;TEXT(H27,"dd mmm yyyy")</x:f>
        <x:v>09 Apr 2026 – 08 Apr 2027</x:v>
      </x:c>
      <x:c r="J27" s="7" t="str">
        <x:f>IF(H27&lt;TODAY(),"Expired","Active")</x:f>
        <x:v>Active</x:v>
      </x:c>
      <x:c r="K27" s="15" t="str">
        <x:v>https://drive.google.com/file/d/166Xm-UglCnnRgloDYXQWwjJP5riMGNLX/view?usp=drive_link</x:v>
      </x:c>
    </x:row>
    <x:row r="28" ht="42" customHeight="1">
      <x:c r="A28" s="9" t="str">
        <x:v>MOU-2026-027</x:v>
      </x:c>
      <x:c r="B28" s="9" t="str">
        <x:v>MoU_International Institute of Multi -cultural Studies_Japan_2026</x:v>
      </x:c>
      <x:c r="C28" s="7" t="n">
        <x:v>27</x:v>
      </x:c>
      <x:c r="D28" s="13" t="str">
        <x:v>International Institute of Multi -cultural Studies</x:v>
      </x:c>
      <x:c r="E28" s="13" t="str">
        <x:v>Japan</x:v>
      </x:c>
      <x:c r="F28" s="13" t="str">
        <x:v>1) Exchange of faculty and/or staff;
2) Exchange of graduate and/or undergraduate student;
3) Exchange of cultural activity;
4) Joint conferences and academic program; and/or
5) Joint research activity and publication.</x:v>
      </x:c>
      <x:c r="G28" s="11" t="n">
        <x:v>46121.5</x:v>
      </x:c>
      <x:c r="H28" s="11" t="n">
        <x:v>47946.5</x:v>
      </x:c>
      <x:c r="I28" s="7" t="str">
        <x:f>TEXT(G28,"dd mmm yyyy")&amp;" – "&amp;TEXT(H28,"dd mmm yyyy")</x:f>
        <x:v>09 Apr 2026 – 08 Apr 2031</x:v>
      </x:c>
      <x:c r="J28" s="7" t="str">
        <x:f>IF(H28&lt;TODAY(),"Expired","Active")</x:f>
        <x:v>Active</x:v>
      </x:c>
      <x:c r="K28" s="15" t="str">
        <x:v>https://drive.google.com/file/d/1y_sNt46Qer97NYiN4BgpDLAnIc7UotNZ/view?usp=drive_link</x:v>
      </x:c>
    </x:row>
    <x:row r="29" ht="42" customHeight="1">
      <x:c r="A29" s="9" t="str">
        <x:v>MOU-2026-028</x:v>
      </x:c>
      <x:c r="B29" s="9" t="str">
        <x:v>MoU_Griffith University_Australia_2026</x:v>
      </x:c>
      <x:c r="C29" s="7" t="n">
        <x:v>28</x:v>
      </x:c>
      <x:c r="D29" s="13" t="str">
        <x:v>Griffith University</x:v>
      </x:c>
      <x:c r="E29" s="13" t="str">
        <x:v>Australia</x:v>
      </x:c>
      <x:c r="F29" s="13" t="str">
        <x:v>Kemdiktisaintek-LPDP-KONEKSI grant application "Waste to Power: A Scalable Constructed Wetland-Microbial Fuel Cell (CW-MFC) System for Bioenergy and Wastewater Treatment in Jombang's Tofu lndustry"</x:v>
      </x:c>
      <x:c r="G29" s="11" t="n">
        <x:v>46114.5</x:v>
      </x:c>
      <x:c r="H29" s="11" t="n">
        <x:v>47939.5</x:v>
      </x:c>
      <x:c r="I29" s="7" t="str">
        <x:f>TEXT(G29,"dd mmm yyyy")&amp;" – "&amp;TEXT(H29,"dd mmm yyyy")</x:f>
        <x:v>02 Apr 2026 – 01 Apr 2031</x:v>
      </x:c>
      <x:c r="J29" s="7" t="str">
        <x:f>IF(H29&lt;TODAY(),"Expired","Active")</x:f>
        <x:v>Active</x:v>
      </x:c>
      <x:c r="K29" s="15" t="str">
        <x:v>https://drive.google.com/file/d/12e24DT05nE0Q1zSxme_gcvu8xjYpcbiO/view?usp=drive_link</x:v>
      </x:c>
    </x:row>
    <x:row r="30" ht="42" customHeight="1">
      <x:c r="A30" s="9" t="str">
        <x:v>MOU-2026-029</x:v>
      </x:c>
      <x:c r="B30" s="9" t="str">
        <x:v>MoU_Technical University of Cluj-Napoca_Romania_2026</x:v>
      </x:c>
      <x:c r="C30" s="7" t="n">
        <x:v>32</x:v>
      </x:c>
      <x:c r="D30" s="13" t="str">
        <x:v>Technical University of Cluj-Napoca</x:v>
      </x:c>
      <x:c r="E30" s="13" t="str">
        <x:v>Romania</x:v>
      </x:c>
      <x:c r="F30" s="13" t="str">
        <x:v>Erasmus+ Programme - Mobility of higher education students and staff</x:v>
      </x:c>
      <x:c r="G30" s="11" t="n">
        <x:v>46112.5</x:v>
      </x:c>
      <x:c r="H30" s="11" t="n">
        <x:v>46476.5</x:v>
      </x:c>
      <x:c r="I30" s="7" t="str">
        <x:f>TEXT(G30,"dd mmm yyyy")&amp;" – "&amp;TEXT(H30,"dd mmm yyyy")</x:f>
        <x:v>31 Mar 2026 – 30 Mar 2027</x:v>
      </x:c>
      <x:c r="J30" s="7" t="str">
        <x:f>IF(H30&lt;TODAY(),"Expired","Active")</x:f>
        <x:v>Active</x:v>
      </x:c>
      <x:c r="K30" s="15" t="str">
        <x:v>https://drive.google.com/file/d/1_sPQUB2T1O2o-AEdt15YqwcInbKoXufg/view?usp=drive_link</x:v>
      </x:c>
    </x:row>
    <x:row r="31" ht="42" customHeight="1">
      <x:c r="A31" s="9" t="str">
        <x:v>MOU-2026-030</x:v>
      </x:c>
      <x:c r="B31" s="9" t="str">
        <x:v>MoU_Central Bicol State University of Agriculture_Philippines_2026</x:v>
      </x:c>
      <x:c r="C31" s="7" t="n">
        <x:v>29</x:v>
      </x:c>
      <x:c r="D31" s="13" t="str">
        <x:v>Central Bicol State University of Agriculture</x:v>
      </x:c>
      <x:c r="E31" s="13" t="str">
        <x:v>Philippines</x:v>
      </x:c>
      <x:c r="F31" s="13" t="str">
        <x:v>a) Student mobility and visiting scholar programs;
b) Academic programs collaborations;
c) Joint publication and research activities;
d) Exchange of academic materials and other information;
e) Scholarly activities such as courses, seminars, trainings, conferences, and symposiums organized by either of the parties;
f) Other activities and programs as may be mutually agreed upon by the Parties.</x:v>
      </x:c>
      <x:c r="G31" s="11" t="n">
        <x:v>46107.5</x:v>
      </x:c>
      <x:c r="H31" s="11" t="n">
        <x:v>47932.5</x:v>
      </x:c>
      <x:c r="I31" s="7" t="str">
        <x:f>TEXT(G31,"dd mmm yyyy")&amp;" – "&amp;TEXT(H31,"dd mmm yyyy")</x:f>
        <x:v>26 Mar 2026 – 25 Mar 2031</x:v>
      </x:c>
      <x:c r="J31" s="7" t="str">
        <x:f>IF(H31&lt;TODAY(),"Expired","Active")</x:f>
        <x:v>Active</x:v>
      </x:c>
      <x:c r="K31" s="15" t="str">
        <x:v>https://drive.google.com/file/d/1lOoYgX2G0Tu1r16f2mx3-cfOlQP_HUWV/view?usp=drive_link</x:v>
      </x:c>
    </x:row>
    <x:row r="32" ht="42" customHeight="1">
      <x:c r="A32" s="9" t="str">
        <x:v>MOU-2026-031</x:v>
      </x:c>
      <x:c r="B32" s="9" t="str">
        <x:v>MoU_Ateneo De Naga University_Philippines_2026</x:v>
      </x:c>
      <x:c r="C32" s="7" t="n">
        <x:v>30</x:v>
      </x:c>
      <x:c r="D32" s="13" t="str">
        <x:v>Ateneo De Naga University</x:v>
      </x:c>
      <x:c r="E32" s="13" t="str">
        <x:v>Philippines</x:v>
      </x:c>
      <x:c r="F32" s="13" t="str">
        <x:v>Pre-Service Student Teacher Exchange in Southeast Asia Programme (SEA-TEACHER PROGRAMME)</x:v>
      </x:c>
      <x:c r="G32" s="11" t="n">
        <x:v>46106.5</x:v>
      </x:c>
      <x:c r="H32" s="11" t="n">
        <x:v>46470.5</x:v>
      </x:c>
      <x:c r="I32" s="7" t="str">
        <x:f>TEXT(G32,"dd mmm yyyy")&amp;" – "&amp;TEXT(H32,"dd mmm yyyy")</x:f>
        <x:v>25 Mar 2026 – 24 Mar 2027</x:v>
      </x:c>
      <x:c r="J32" s="7" t="str">
        <x:f>IF(H32&lt;TODAY(),"Expired","Active")</x:f>
        <x:v>Active</x:v>
      </x:c>
      <x:c r="K32" s="15" t="str">
        <x:v>https://drive.google.com/file/d/1ds_OIE3drnSxwLqeQ-PuBWWDeYE0mpx0/view?usp=drive_link</x:v>
      </x:c>
    </x:row>
    <x:row r="33" ht="42" customHeight="1">
      <x:c r="A33" s="9" t="str">
        <x:v>MOU-2026-032</x:v>
      </x:c>
      <x:c r="B33" s="9" t="str">
        <x:v>MoU_Mardin Artuklu University_Turkiye_2026</x:v>
      </x:c>
      <x:c r="C33" s="7" t="n">
        <x:v>31</x:v>
      </x:c>
      <x:c r="D33" s="13" t="str">
        <x:v>Mardin Artuklu University</x:v>
      </x:c>
      <x:c r="E33" s="13" t="str">
        <x:v>Turkiye</x:v>
      </x:c>
      <x:c r="F33" s="13" t="str">
        <x:v>1) The conduct of joint research, including the exchange of faculty and research members and scholars,
2) The exchange of research materials and academic information including publications and research data,
3) Technical assistance in academic and scientific matters,
4) Organization of joint scientific and academic activities such as conferences, symposia, seminars and congresses and promotion of contribution of scholars from both countries’, 
5) The conduct of and cooperation in joint cultural and social public activities in order to engage in public spheres,
6) The scholarly activities mentioned above shall be arranged accordingly to the budgetary resources and legal restrictions,
7) Promotion of student exchange programmes in all study cycles and organization of programmes offering dual degree certificates within the boundaries of both countries’ legislations.</x:v>
      </x:c>
      <x:c r="G33" s="11" t="n">
        <x:v>46097.5</x:v>
      </x:c>
      <x:c r="H33" s="11" t="n">
        <x:v>47922.5</x:v>
      </x:c>
      <x:c r="I33" s="7" t="str">
        <x:f>TEXT(G33,"dd mmm yyyy")&amp;" – "&amp;TEXT(H33,"dd mmm yyyy")</x:f>
        <x:v>16 Mar 2026 – 15 Mar 2031</x:v>
      </x:c>
      <x:c r="J33" s="7" t="str">
        <x:f>IF(H33&lt;TODAY(),"Expired","Active")</x:f>
        <x:v>Active</x:v>
      </x:c>
      <x:c r="K33" s="15" t="str">
        <x:v>https://drive.google.com/file/d/1qYsvZRc_r5YJYH90VOzOA1UEsYE250rb/view?usp=drive_link</x:v>
      </x:c>
    </x:row>
    <x:row r="34" ht="42" customHeight="1">
      <x:c r="A34" s="9" t="str">
        <x:v>MOU-2026-033</x:v>
      </x:c>
      <x:c r="B34" s="9" t="str">
        <x:v>MoU_University of Ostrava_Czechia_2026</x:v>
      </x:c>
      <x:c r="C34" s="7" t="n">
        <x:v>33</x:v>
      </x:c>
      <x:c r="D34" s="13" t="str">
        <x:v>University of Ostrava</x:v>
      </x:c>
      <x:c r="E34" s="13" t="str">
        <x:v>Czechia</x:v>
      </x:c>
      <x:c r="F34" s="13" t="str">
        <x:v>1) Promote institutional exchange through mobility of academic, research and administrative personnel of the partner institutions to participate in a variety of teaching, research and professional development activities;
2) Promote interest in the teaching and research activities of the respective institutions;
3) Seek opportunities to receive students on exchange of the partner institution
4) Seek opportunities for joint research projects;
5) Seek to develop double-degree programmes between the respective institutions;
6) Seek to develop professional and Industrial training for respective students and academic staff;
7) Seek opportunities for Joint grant applications;
8) Promote Staff Capacity development through scholarships;
9) Organize symposia, conferences, short courses and meetings on research and academic issues.</x:v>
      </x:c>
      <x:c r="G34" s="11" t="n">
        <x:v>46091.5</x:v>
      </x:c>
      <x:c r="H34" s="11" t="n">
        <x:v>46090.5</x:v>
      </x:c>
      <x:c r="I34" s="7" t="str">
        <x:f>TEXT(G34,"dd mmm yyyy")&amp;" – "&amp;TEXT(H34,"dd mmm yyyy")</x:f>
        <x:v>10 Mar 2026 – 09 Mar 2026</x:v>
      </x:c>
      <x:c r="J34" s="7" t="str">
        <x:f>IF(H34&lt;TODAY(),"Expired","Active")</x:f>
        <x:v>Expired</x:v>
      </x:c>
      <x:c r="K34" s="15" t="str">
        <x:v>https://drive.google.com/file/d/1EtNG-mqfHnFesyhn4L66aZuzIq3rVIaw/view?usp=drive_link</x:v>
      </x:c>
    </x:row>
    <x:row r="35" ht="42" customHeight="1">
      <x:c r="A35" s="9" t="str">
        <x:v>MOU-2026-034</x:v>
      </x:c>
      <x:c r="B35" s="9" t="str">
        <x:v>MoU_Instituto Politecnico De Timor Leste_East Timor_2026</x:v>
      </x:c>
      <x:c r="C35" s="7" t="n">
        <x:v>34</x:v>
      </x:c>
      <x:c r="D35" s="13" t="str">
        <x:v>Instituto Politecnico De Timor Leste</x:v>
      </x:c>
      <x:c r="E35" s="13" t="str">
        <x:v>East Timor</x:v>
      </x:c>
      <x:c r="F35" s="13" t="str">
        <x:v>1) Exchange of faculty and/or staff;
2) Exchange of graduate and/or undergraduate student;
3) Exchange of scientific material, publication, and information;
4) Exchange of cultural activity;
5) Joint conferences and academic program; and/or
6) Joint research activity and publication;
7) Joint community service and community engagement programs, including capacity 
building and empowerment initiatives for local communities.</x:v>
      </x:c>
      <x:c r="G35" s="11" t="n">
        <x:v>46085.5</x:v>
      </x:c>
      <x:c r="H35" s="11" t="n">
        <x:v>47910.5</x:v>
      </x:c>
      <x:c r="I35" s="7" t="str">
        <x:f>TEXT(G35,"dd mmm yyyy")&amp;" – "&amp;TEXT(H35,"dd mmm yyyy")</x:f>
        <x:v>04 Mar 2026 – 03 Mar 2031</x:v>
      </x:c>
      <x:c r="J35" s="7" t="str">
        <x:f>IF(H35&lt;TODAY(),"Expired","Active")</x:f>
        <x:v>Active</x:v>
      </x:c>
      <x:c r="K35" s="15" t="str">
        <x:v>https://drive.google.com/file/d/1fKqzNfQ9eOonOyHZRKoGnQ0iNlL6U620/view?usp=drive_link</x:v>
      </x:c>
    </x:row>
    <x:row r="36" ht="42" customHeight="1">
      <x:c r="A36" s="9" t="str">
        <x:v>MOU-2026-035</x:v>
      </x:c>
      <x:c r="B36" s="9" t="str">
        <x:v>MoU_Misamis University_Philippines_2026</x:v>
      </x:c>
      <x:c r="C36" s="7" t="n">
        <x:v>35</x:v>
      </x:c>
      <x:c r="D36" s="13" t="str">
        <x:v>Misamis University</x:v>
      </x:c>
      <x:c r="E36" s="13" t="str">
        <x:v>Philippines</x:v>
      </x:c>
      <x:c r="F36" s="13" t="str">
        <x:v>1) Exchange of academic and administrative staff for teaching, research, and professional development;
2) Exchange of students through study abroad (short-term or long-term), virtual exchange (online joint classes, lectures, and Collaborative Online International Learning or COIL), immersion programs, and educational tours;
3) Exchange of cultural activity;
4) Conduct of lectures, seminars, faculty training, webinars, fora, symposiums, and academic conferences;
5) Facilitation of international internships and related academic activities;
6) Development and delivery of transnational higher education programs, including credit transfer, twinning, and double-degree programs, etc.;
7) Joint and virtual research, project development, and dissemination activities;
8) Exchange of academic information, publications, and instructional materials;
9) Benchmarking activities and other initiatives for institutional development; and
10) Other academic cooperation and collaboration as may be mutually agreed upon by the Parties.</x:v>
      </x:c>
      <x:c r="G36" s="11" t="n">
        <x:v>46079.5</x:v>
      </x:c>
      <x:c r="H36" s="11" t="n">
        <x:v>47904.5</x:v>
      </x:c>
      <x:c r="I36" s="7" t="str">
        <x:f>TEXT(G36,"dd mmm yyyy")&amp;" – "&amp;TEXT(H36,"dd mmm yyyy")</x:f>
        <x:v>26 Feb 2026 – 25 Feb 2031</x:v>
      </x:c>
      <x:c r="J36" s="7" t="str">
        <x:f>IF(H36&lt;TODAY(),"Expired","Active")</x:f>
        <x:v>Active</x:v>
      </x:c>
      <x:c r="K36" s="15" t="str">
        <x:v>https://drive.google.com/file/d/1Wp_udRGVE4j43lrpq8-laLds5_m5bmCL/view?usp=drive_link</x:v>
      </x:c>
    </x:row>
    <x:row r="37" ht="42" customHeight="1">
      <x:c r="A37" s="9" t="str">
        <x:v>MOU-2026-036</x:v>
      </x:c>
      <x:c r="B37" s="9" t="str">
        <x:v>MoU_Ovidius University of Constanta_Romania_2026</x:v>
      </x:c>
      <x:c r="C37" s="7" t="n">
        <x:v>36</x:v>
      </x:c>
      <x:c r="D37" s="13" t="str">
        <x:v>Ovidius University of Constanta</x:v>
      </x:c>
      <x:c r="E37" s="13" t="str">
        <x:v>Romania</x:v>
      </x:c>
      <x:c r="F37" s="13" t="str">
        <x:v>a) exchange of information of mutual interest, pertaining to improvements in teaching, student development and research at each institution, including exchanges between the libraries of each institution.
b) exchange of academic staff members and/or researchers, on a reciprocal basis, with the objective of offering courses and realizing research projects in areas mutually agreed upon by both universities.  It is understood that the exchanges require prior invitation and will comply with the procedures and expectations established by each university and specific department.
c) exchange of students for various periods of study and/or research as well as common supervision of students.  It is understood that acceptance of any students will be at the discretion of the institution providing the learning experience, and that any visiting students will be subject to the policies and regulations of the host university.
d) development of joint courses, curricula or even joint academic programs in fields of mutual interest, taking advantage of complementary educational infrastructure and expertise.
e) development of joint research projects, providing access to complementary research infrastructure and expertise, sharing and protecting common intellectual property rights.
f) organize symposia, conferences, short courses and meetings on topics of mutual academic interest.
g) support common projects and positions in associations in which the two universities are members.
h) meet periodically, if deemed desirable, to review and evaluate past activities and to work out new ideas for future cooperative agreements.</x:v>
      </x:c>
      <x:c r="G37" s="11" t="n">
        <x:v>46077.5</x:v>
      </x:c>
      <x:c r="H37" s="11" t="n">
        <x:v>47902.5</x:v>
      </x:c>
      <x:c r="I37" s="7" t="str">
        <x:f>TEXT(G37,"dd mmm yyyy")&amp;" – "&amp;TEXT(H37,"dd mmm yyyy")</x:f>
        <x:v>24 Feb 2026 – 23 Feb 2031</x:v>
      </x:c>
      <x:c r="J37" s="7" t="str">
        <x:f>IF(H37&lt;TODAY(),"Expired","Active")</x:f>
        <x:v>Active</x:v>
      </x:c>
      <x:c r="K37" s="15" t="str">
        <x:v>https://drive.google.com/file/d/1tvzp4ApAwlXB6qYtcCVNR75dcL8pepP9/view?usp=drive_link</x:v>
      </x:c>
    </x:row>
    <x:row r="38" ht="42" customHeight="1">
      <x:c r="A38" s="9" t="str">
        <x:v>MOU-2026-037</x:v>
      </x:c>
      <x:c r="B38" s="9" t="str">
        <x:v>MoU_Tohoku University_Japan_2026</x:v>
      </x:c>
      <x:c r="C38" s="7" t="n">
        <x:v>37</x:v>
      </x:c>
      <x:c r="D38" s="13" t="str">
        <x:v>Tohoku University</x:v>
      </x:c>
      <x:c r="E38" s="13" t="str">
        <x:v>Japan</x:v>
      </x:c>
      <x:c r="F38" s="13" t="str">
        <x:v>1-1 Promotion of joint research and educational activities;
1-2 Inviting faculty members and researchers from the partner university to make short-term visits for lectures, conferences, colloquia, symposia and other academic activities;
1-3 Exchange of information and pertinent publication in fields of interest to both universities;
1-4 Exchange of faculty members, researchers and students for study and research.
Other forms of cooperation may be established separately if both parties are in agreement.</x:v>
      </x:c>
      <x:c r="G38" s="11" t="n">
        <x:v>46062.5</x:v>
      </x:c>
      <x:c r="H38" s="11" t="n">
        <x:v>47887.5</x:v>
      </x:c>
      <x:c r="I38" s="7" t="str">
        <x:f>TEXT(G38,"dd mmm yyyy")&amp;" – "&amp;TEXT(H38,"dd mmm yyyy")</x:f>
        <x:v>09 Feb 2026 – 08 Feb 2031</x:v>
      </x:c>
      <x:c r="J38" s="7" t="str">
        <x:f>IF(H38&lt;TODAY(),"Expired","Active")</x:f>
        <x:v>Active</x:v>
      </x:c>
      <x:c r="K38" s="15" t="str">
        <x:v>https://drive.google.com/file/d/1XOHesEWQpgiGhKEvkP1Erarpi0-tMnjQ/view?usp=drive_link</x:v>
      </x:c>
    </x:row>
    <x:row r="39" ht="42" customHeight="1">
      <x:c r="A39" s="9" t="str">
        <x:v>MOU-2026-038</x:v>
      </x:c>
      <x:c r="B39" s="9" t="str">
        <x:v>MoU_Tsinghua University_China_2026</x:v>
      </x:c>
      <x:c r="C39" s="7" t="n">
        <x:v>38</x:v>
      </x:c>
      <x:c r="D39" s="13" t="str">
        <x:v>Tsinghua University</x:v>
      </x:c>
      <x:c r="E39" s="13" t="str">
        <x:v>China</x:v>
      </x:c>
      <x:c r="F39" s="13" t="str">
        <x:v>Participate and actively support the initiatives of the World Society of Carbon Neutrality (WSCN) and the multilateraljoint research program of "Carbon Neutrality and Energy System transformation" (CNEST), particularly on Al and energy system transformation.</x:v>
      </x:c>
      <x:c r="G39" s="11" t="n">
        <x:v>46059.5</x:v>
      </x:c>
      <x:c r="H39" s="11" t="n">
        <x:v>47154.5</x:v>
      </x:c>
      <x:c r="I39" s="7" t="str">
        <x:f>TEXT(G39,"dd mmm yyyy")&amp;" – "&amp;TEXT(H39,"dd mmm yyyy")</x:f>
        <x:v>06 Feb 2026 – 05 Feb 2029</x:v>
      </x:c>
      <x:c r="J39" s="7" t="str">
        <x:f>IF(H39&lt;TODAY(),"Expired","Active")</x:f>
        <x:v>Active</x:v>
      </x:c>
      <x:c r="K39" s="15" t="str">
        <x:v>https://drive.google.com/file/d/1-O1eGk1s9ypGnYbSj3jK57q73W8_JEZK/view?usp=drive_link</x:v>
      </x:c>
    </x:row>
    <x:row r="40" ht="42" customHeight="1">
      <x:c r="A40" s="9" t="str">
        <x:v>MOU-2026-039</x:v>
      </x:c>
      <x:c r="B40" s="9" t="str">
        <x:v>MoU_University of Wollongong Malaysia_Malaysia_2026</x:v>
      </x:c>
      <x:c r="C40" s="7" t="n">
        <x:v>39</x:v>
      </x:c>
      <x:c r="D40" s="13" t="str">
        <x:v>University of Wollongong Malaysia</x:v>
      </x:c>
      <x:c r="E40" s="13" t="str">
        <x:v>Malaysia</x:v>
      </x:c>
      <x:c r="F40" s="13" t="str">
        <x:v>a) Exchange of faculty and/or staff;
b) Exchange of graduate and/or urdergraduate student,
c) Exchange of scientific material, publication, and information;
d) Exchange of cultural activity;
e  Joint conferences and academic program; and/or
i) Joint research activity and publication.</x:v>
      </x:c>
      <x:c r="G40" s="11" t="n">
        <x:v>46057.5</x:v>
      </x:c>
      <x:c r="H40" s="11" t="n">
        <x:v>47882.5</x:v>
      </x:c>
      <x:c r="I40" s="7" t="str">
        <x:f>TEXT(G40,"dd mmm yyyy")&amp;" – "&amp;TEXT(H40,"dd mmm yyyy")</x:f>
        <x:v>04 Feb 2026 – 03 Feb 2031</x:v>
      </x:c>
      <x:c r="J40" s="7" t="str">
        <x:f>IF(H40&lt;TODAY(),"Expired","Active")</x:f>
        <x:v>Active</x:v>
      </x:c>
      <x:c r="K40" s="15" t="str">
        <x:v>https://drive.google.com/file/d/1yiuSKwS1R79vUs9kpmaMqACHawFGidL0/view?usp=drive_link</x:v>
      </x:c>
    </x:row>
    <x:row r="41" ht="42" customHeight="1">
      <x:c r="A41" s="9" t="str">
        <x:v>MOU-2026-040</x:v>
      </x:c>
      <x:c r="B41" s="9" t="str">
        <x:v>MoU_Gifu University_Japan_2026</x:v>
      </x:c>
      <x:c r="C41" s="7" t="n">
        <x:v>40</x:v>
      </x:c>
      <x:c r="D41" s="13" t="str">
        <x:v>Gifu University</x:v>
      </x:c>
      <x:c r="E41" s="13" t="str">
        <x:v>Japan</x:v>
      </x:c>
      <x:c r="F41" s="13" t="str">
        <x:v>a) Visits by and exchange of students for the purposes of study and research
b) Visits by and interchange of faculty members, researchers and administrative staff for the purposes of research, teaching and discussions
c) Exchange of academic information, materials and programs including, but not limited to, exchange of library materials and research publications
d) Joint research activities
e) Joint participation in internationally funded projects
f) Joint course development and delivery
g) Joint conferences, workshops, seminars as well as international training programs
h) Joint organization of special technical or administrative programs, and
i) Other cooperative activities as appropriate</x:v>
      </x:c>
      <x:c r="G41" s="11" t="n">
        <x:v>46048.5</x:v>
      </x:c>
      <x:c r="H41" s="11" t="n">
        <x:v>47873.5</x:v>
      </x:c>
      <x:c r="I41" s="7" t="str">
        <x:f>TEXT(G41,"dd mmm yyyy")&amp;" – "&amp;TEXT(H41,"dd mmm yyyy")</x:f>
        <x:v>26 Jan 2026 – 25 Jan 2031</x:v>
      </x:c>
      <x:c r="J41" s="7" t="str">
        <x:f>IF(H41&lt;TODAY(),"Expired","Active")</x:f>
        <x:v>Active</x:v>
      </x:c>
      <x:c r="K41" s="15" t="str">
        <x:v>https://drive.google.com/file/d/16amxsU6QlRTPp0WIg65zFY0a7q5XJSTr/view?usp=drive_link</x:v>
      </x:c>
    </x:row>
    <x:row r="42" ht="42" customHeight="1">
      <x:c r="A42" s="9" t="str">
        <x:v>MOU-2026-041</x:v>
      </x:c>
      <x:c r="B42" s="9" t="str">
        <x:v>MoU_The Board of Supervisors of Louisiana State University and Agricultural and Mechanical College and Louisiana State University Agricultural Center_America! US_2026</x:v>
      </x:c>
      <x:c r="C42" s="7" t="n">
        <x:v>42</x:v>
      </x:c>
      <x:c r="D42" s="13" t="str">
        <x:v>The Board of Supervisors of Louisiana State University and Agricultural and Mechanical College and Louisiana State University Agricultural Center</x:v>
      </x:c>
      <x:c r="E42" s="13" t="str">
        <x:v>America! US</x:v>
      </x:c>
      <x:c r="F42" s="13" t="str">
        <x:v>1) Organize and perform joint research projects, academic seminars, and guest lectures,
2) Arrange exchanges of faculty, researchers and students,
3) Hosting faculty with teaching assignment, and
4) Cooperation in graduate education.</x:v>
      </x:c>
      <x:c r="G42" s="11" t="n">
        <x:v>46045.5</x:v>
      </x:c>
      <x:c r="H42" s="11" t="n">
        <x:v>47505.5</x:v>
      </x:c>
      <x:c r="I42" s="7" t="str">
        <x:f>TEXT(G42,"dd mmm yyyy")&amp;" – "&amp;TEXT(H42,"dd mmm yyyy")</x:f>
        <x:v>23 Jan 2026 – 22 Jan 2030</x:v>
      </x:c>
      <x:c r="J42" s="7" t="str">
        <x:f>IF(H42&lt;TODAY(),"Expired","Active")</x:f>
        <x:v>Active</x:v>
      </x:c>
      <x:c r="K42" s="15" t="str">
        <x:v>https://drive.google.com/file/d/1UP2kvDzrYfeMxA4gbGBwyWS-X6U0sU0L/view?usp=drive_link</x:v>
      </x:c>
    </x:row>
    <x:row r="43" ht="42" customHeight="1">
      <x:c r="A43" s="9" t="str">
        <x:v>MOU-2026-042</x:v>
      </x:c>
      <x:c r="B43" s="9" t="str">
        <x:v>MoU_Keiser University_Vietnam_2026</x:v>
      </x:c>
      <x:c r="C43" s="7" t="n">
        <x:v>41</x:v>
      </x:c>
      <x:c r="D43" s="13" t="str">
        <x:v>Keiser University</x:v>
      </x:c>
      <x:c r="E43" s="13" t="str">
        <x:v>Vietnam</x:v>
      </x:c>
      <x:c r="F43"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43" s="11" t="n">
        <x:v>46044.5</x:v>
      </x:c>
      <x:c r="H43" s="11" t="n">
        <x:v>47504.5</x:v>
      </x:c>
      <x:c r="I43" s="7" t="str">
        <x:f>TEXT(G43,"dd mmm yyyy")&amp;" – "&amp;TEXT(H43,"dd mmm yyyy")</x:f>
        <x:v>22 Jan 2026 – 21 Jan 2030</x:v>
      </x:c>
      <x:c r="J43" s="7" t="str">
        <x:f>IF(H43&lt;TODAY(),"Expired","Active")</x:f>
        <x:v>Active</x:v>
      </x:c>
      <x:c r="K43" s="15" t="str">
        <x:v>https://drive.google.com/file/d/1pQ0TKrrVC840V0_x36-Z0zqc0RJNwAMX/view?usp=drive_link</x:v>
      </x:c>
    </x:row>
    <x:row r="44" ht="42" customHeight="1">
      <x:c r="A44" s="9" t="str">
        <x:v>MOU-2026-043</x:v>
      </x:c>
      <x:c r="B44" s="9" t="str">
        <x:v>MoU_Nanyang Technological University and Research Organization for Agriculture and Food of the National Research and Innovation Agency of the Republic of Indonesia (ORPP-BRIN)_Singapore_2026</x:v>
      </x:c>
      <x:c r="C44" s="7" t="n">
        <x:v>43</x:v>
      </x:c>
      <x:c r="D44" s="13" t="str">
        <x:v>Nanyang Technological University and Research Organization for Agriculture and Food of the National Research and Innovation Agency of the Republic of Indonesia (ORPP-BRIN)</x:v>
      </x:c>
      <x:c r="E44" s="13" t="str">
        <x:v>Singapore</x:v>
      </x:c>
      <x:c r="F44" s="13" t="str">
        <x:v>Research, policies, industry Engagement in the areas of food science and biotechnology</x:v>
      </x:c>
      <x:c r="G44" s="11" t="n">
        <x:v>46028.5</x:v>
      </x:c>
      <x:c r="H44" s="11" t="n">
        <x:v>47488.5</x:v>
      </x:c>
      <x:c r="I44" s="7" t="str">
        <x:f>TEXT(G44,"dd mmm yyyy")&amp;" – "&amp;TEXT(H44,"dd mmm yyyy")</x:f>
        <x:v>06 Jan 2026 – 05 Jan 2030</x:v>
      </x:c>
      <x:c r="J44" s="7" t="str">
        <x:f>IF(H44&lt;TODAY(),"Expired","Active")</x:f>
        <x:v>Active</x:v>
      </x:c>
      <x:c r="K44" s="15" t="str">
        <x:v>https://drive.google.com/file/d/1G1TlRh9WngHtENNeKzYn4nHEW_W-Tluf/view?usp=drive_link</x:v>
      </x:c>
    </x:row>
    <x:row r="45" ht="42" customHeight="1">
      <x:c r="A45" s="9" t="str">
        <x:v>MOU-2025-001</x:v>
      </x:c>
      <x:c r="B45" s="9" t="str">
        <x:v>MoU_Universiti Malaysia Pahang Al-Sultan Abdullah_Malaysia_2025</x:v>
      </x:c>
      <x:c r="C45" s="7" t="n">
        <x:v>1</x:v>
      </x:c>
      <x:c r="D45" s="13" t="str">
        <x:v>Universiti Malaysia Pahang Al-Sultan Abdullah</x:v>
      </x:c>
      <x:c r="E45" s="13" t="str">
        <x:v>Malaysia</x:v>
      </x:c>
      <x:c r="F45" s="13" t="str">
        <x:v>Student Exchange</x:v>
      </x:c>
      <x:c r="G45" s="11" t="n">
        <x:v>46015.5</x:v>
      </x:c>
      <x:c r="H45" s="11" t="n">
        <x:v>47840.5</x:v>
      </x:c>
      <x:c r="I45" s="7" t="str">
        <x:f>TEXT(G45,"dd mmm yyyy")&amp;" – "&amp;TEXT(H45,"dd mmm yyyy")</x:f>
        <x:v>24 Dec 2025 – 23 Dec 2030</x:v>
      </x:c>
      <x:c r="J45" s="7" t="str">
        <x:f>IF(H45&lt;TODAY(),"Expired","Active")</x:f>
        <x:v>Active</x:v>
      </x:c>
      <x:c r="K45" s="15" t="str">
        <x:v>https://drive.google.com/file/d/1W3zkioYTG-62_f1z9Zx5hLfsC-Obds4a/view?usp=drive_link</x:v>
      </x:c>
    </x:row>
    <x:row r="46" ht="42" customHeight="1">
      <x:c r="A46" s="9" t="str">
        <x:v>MOU-2025-002</x:v>
      </x:c>
      <x:c r="B46" s="9" t="str">
        <x:v>MoU_University of Bucharest_Romania_2025</x:v>
      </x:c>
      <x:c r="C46" s="7" t="n">
        <x:v>2</x:v>
      </x:c>
      <x:c r="D46" s="13" t="str">
        <x:v>University of Bucharest</x:v>
      </x:c>
      <x:c r="E46" s="13" t="str">
        <x:v>Romania</x:v>
      </x:c>
      <x:c r="F46" s="13" t="str">
        <x:v>1) Exchange of faculty and/or staff;
2) Exchange of graduate and/or undergraduate student;
3) Exchange of scientific material, publication, and information;
4) Exchange of cultural activity;
5) Joint conferences and academic program; 
6) Joint research activity and publication;
7) Joint community services activities.</x:v>
      </x:c>
      <x:c r="G46" s="11" t="n">
        <x:v>46015.5</x:v>
      </x:c>
      <x:c r="H46" s="11" t="n">
        <x:v>47840.5</x:v>
      </x:c>
      <x:c r="I46" s="7" t="str">
        <x:f>TEXT(G46,"dd mmm yyyy")&amp;" – "&amp;TEXT(H46,"dd mmm yyyy")</x:f>
        <x:v>24 Dec 2025 – 23 Dec 2030</x:v>
      </x:c>
      <x:c r="J46" s="7" t="str">
        <x:f>IF(H46&lt;TODAY(),"Expired","Active")</x:f>
        <x:v>Active</x:v>
      </x:c>
      <x:c r="K46" s="15" t="str">
        <x:v>https://drive.google.com/file/d/1H3OIO7uxTSdrYgDSqsPgNgG82XG5wylN/view?usp=drive_link</x:v>
      </x:c>
    </x:row>
    <x:row r="47" ht="42" customHeight="1">
      <x:c r="A47" s="9" t="str">
        <x:v>MOU-2025-003</x:v>
      </x:c>
      <x:c r="B47" s="9" t="str">
        <x:v>MoU_Guilin University of Electronic Technology_China_2025</x:v>
      </x:c>
      <x:c r="C47" s="7" t="n">
        <x:v>3</x:v>
      </x:c>
      <x:c r="D47" s="13" t="str">
        <x:v>Guilin University of Electronic Technology</x:v>
      </x:c>
      <x:c r="E47" s="13" t="str">
        <x:v>China</x:v>
      </x:c>
      <x:c r="F47" s="13" t="str">
        <x:v>1) Exchange of faculty and/or staff;
2) Exchange of graduate and/or undergraduate student;
3) Exchange of scientific material, publication, and information;
4) Exchange of cultural activity;
5) Joint conferences and academic program; 
6) Joint research activity and publication;
7) Joint Degree and Dual Degree Program</x:v>
      </x:c>
      <x:c r="G47" s="11" t="n">
        <x:v>45996.5</x:v>
      </x:c>
      <x:c r="H47" s="11" t="n">
        <x:v>47821.5</x:v>
      </x:c>
      <x:c r="I47" s="7" t="str">
        <x:f>TEXT(G47,"dd mmm yyyy")&amp;" – "&amp;TEXT(H47,"dd mmm yyyy")</x:f>
        <x:v>05 Dec 2025 – 04 Dec 2030</x:v>
      </x:c>
      <x:c r="J47" s="7" t="str">
        <x:f>IF(H47&lt;TODAY(),"Expired","Active")</x:f>
        <x:v>Active</x:v>
      </x:c>
      <x:c r="K47" s="15" t="str">
        <x:v>https://drive.google.com/file/d/1N5xKJxniZvLv6Vz3KAEmEGkizuT7QDiZ/view?usp=drive_link</x:v>
      </x:c>
    </x:row>
    <x:row r="48" ht="42" customHeight="1">
      <x:c r="A48" s="9" t="str">
        <x:v>MOU-2025-004</x:v>
      </x:c>
      <x:c r="B48" s="9" t="str">
        <x:v>MoU_Massey University_New Zealand_2025</x:v>
      </x:c>
      <x:c r="C48" s="7" t="n">
        <x:v>4</x:v>
      </x:c>
      <x:c r="D48" s="13" t="str">
        <x:v>Massey University</x:v>
      </x:c>
      <x:c r="E48" s="13" t="str">
        <x:v>New Zealand</x:v>
      </x:c>
      <x:c r="F48" s="13" t="str">
        <x:v>Double Degree</x:v>
      </x:c>
      <x:c r="G48" s="11" t="n">
        <x:v>45989.5</x:v>
      </x:c>
      <x:c r="H48" s="11" t="n">
        <x:v>47848.5</x:v>
      </x:c>
      <x:c r="I48" s="7" t="str">
        <x:f>TEXT(G48,"dd mmm yyyy")&amp;" – "&amp;TEXT(H48,"dd mmm yyyy")</x:f>
        <x:v>28 Nov 2025 – 31 Dec 2030</x:v>
      </x:c>
      <x:c r="J48" s="7" t="str">
        <x:f>IF(H48&lt;TODAY(),"Expired","Active")</x:f>
        <x:v>Active</x:v>
      </x:c>
      <x:c r="K48" s="15" t="str">
        <x:v>https://drive.google.com/file/d/1nH9TEMH2fONp8U9L_H7afTRXeBwSYGb6/view?usp=drive_link</x:v>
      </x:c>
    </x:row>
    <x:row r="49" ht="42" customHeight="1">
      <x:c r="A49" s="9" t="str">
        <x:v>MOU-2025-005</x:v>
      </x:c>
      <x:c r="B49" s="9" t="str">
        <x:v>MoU_Swinburne University of Technology_Australia_2025</x:v>
      </x:c>
      <x:c r="C49" s="7" t="n">
        <x:v>5</x:v>
      </x:c>
      <x:c r="D49" s="13" t="str">
        <x:v>Swinburne University of Technology</x:v>
      </x:c>
      <x:c r="E49" s="13" t="str">
        <x:v>Australia</x:v>
      </x:c>
      <x:c r="F49" s="13" t="str">
        <x:v>•        Collaborative research projects, including joint applications for external funding and co-authored publications, aligned with IPRI's mission and shared academic strengths
•        Articulation Agreement in areas of aligned curriculum for the development and delivery of dual or joint degree programs across undergraduate, postgraduate, and HDR levels
•        Student exchange and study abroad opportunities, including participation in single accredited units to support international learning experiences
•        Commercialisation of jointly developed research outcomes through joint ventures, patenting and licensing
•        Contribution to a broader regional research and innovation network to strengthen research capabilities and promote knowledge exchange</x:v>
      </x:c>
      <x:c r="G49" s="11" t="n">
        <x:v>45979.5</x:v>
      </x:c>
      <x:c r="H49" s="11" t="n">
        <x:v>47787.5</x:v>
      </x:c>
      <x:c r="I49" s="7" t="str">
        <x:f>TEXT(G49,"dd mmm yyyy")&amp;" – "&amp;TEXT(H49,"dd mmm yyyy")</x:f>
        <x:v>18 Nov 2025 – 31 Oct 2030</x:v>
      </x:c>
      <x:c r="J49" s="7" t="str">
        <x:f>IF(H49&lt;TODAY(),"Expired","Active")</x:f>
        <x:v>Active</x:v>
      </x:c>
      <x:c r="K49" s="15" t="str">
        <x:v>https://drive.google.com/file/d/1CQWtV0Lt6PS72hTNeylvKPNHB-El8LZ2/view?usp=drive_link</x:v>
      </x:c>
    </x:row>
    <x:row r="50" ht="42" customHeight="1">
      <x:c r="A50" s="9" t="str">
        <x:v>MOU-2025-006</x:v>
      </x:c>
      <x:c r="B50" s="9" t="str">
        <x:v>MoU_Shimonoseki City University_Japan_2025</x:v>
      </x:c>
      <x:c r="C50" s="7" t="n">
        <x:v>6</x:v>
      </x:c>
      <x:c r="D50" s="13" t="str">
        <x:v>Shimonoseki City University</x:v>
      </x:c>
      <x:c r="E50" s="13" t="str">
        <x:v>Japan</x:v>
      </x:c>
      <x:c r="F50"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50" s="11" t="n">
        <x:v>45972.5</x:v>
      </x:c>
      <x:c r="H50" s="11" t="n">
        <x:v>47797.5</x:v>
      </x:c>
      <x:c r="I50" s="7" t="str">
        <x:f>TEXT(G50,"dd mmm yyyy")&amp;" – "&amp;TEXT(H50,"dd mmm yyyy")</x:f>
        <x:v>11 Nov 2025 – 10 Nov 2030</x:v>
      </x:c>
      <x:c r="J50" s="7" t="str">
        <x:f>IF(H50&lt;TODAY(),"Expired","Active")</x:f>
        <x:v>Active</x:v>
      </x:c>
      <x:c r="K50" s="15" t="str">
        <x:v>https://drive.google.com/file/d/1Bp1Q7K26A8kFwEtZZ3TJyjyKwwYSssG5/view?usp=drive_link</x:v>
      </x:c>
    </x:row>
    <x:row r="51" ht="42" customHeight="1">
      <x:c r="A51" s="9" t="str">
        <x:v>MOU-2025-007</x:v>
      </x:c>
      <x:c r="B51" s="9" t="str">
        <x:v>MoU_University of Batangas_Philippines_2025</x:v>
      </x:c>
      <x:c r="C51" s="7" t="n">
        <x:v>7</x:v>
      </x:c>
      <x:c r="D51" s="13" t="str">
        <x:v>University of Batangas</x:v>
      </x:c>
      <x:c r="E51" s="13" t="str">
        <x:v>Philippines</x:v>
      </x:c>
      <x:c r="F51"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51" s="11" t="n">
        <x:v>45958.5</x:v>
      </x:c>
      <x:c r="H51" s="11" t="n">
        <x:v>47783.5</x:v>
      </x:c>
      <x:c r="I51" s="7" t="str">
        <x:f>TEXT(G51,"dd mmm yyyy")&amp;" – "&amp;TEXT(H51,"dd mmm yyyy")</x:f>
        <x:v>28 Oct 2025 – 27 Oct 2030</x:v>
      </x:c>
      <x:c r="J51" s="7" t="str">
        <x:f>IF(H51&lt;TODAY(),"Expired","Active")</x:f>
        <x:v>Active</x:v>
      </x:c>
      <x:c r="K51" s="15" t="str">
        <x:v>https://drive.google.com/file/d/1h924KlS2Bp2ZZHtZWYl20pM2gJUnynDJ/view?usp=drive_link</x:v>
      </x:c>
    </x:row>
    <x:row r="52" ht="42" customHeight="1">
      <x:c r="A52" s="9" t="str">
        <x:v>MOU-2025-008</x:v>
      </x:c>
      <x:c r="B52" s="9" t="str">
        <x:v>MoU_Musashino University_Japan_2025</x:v>
      </x:c>
      <x:c r="C52" s="7" t="n">
        <x:v>8</x:v>
      </x:c>
      <x:c r="D52" s="13" t="str">
        <x:v>Musashino University</x:v>
      </x:c>
      <x:c r="E52" s="13" t="str">
        <x:v>Japan</x:v>
      </x:c>
      <x:c r="F52" s="13" t="str">
        <x:v>1) To develop collaborative and joint research project.
2) To support mutual researcher, lecturer and student visit and exchange.
3) To initiate collaborative student supervision for undergraduate and/or graduate research and encourage student exchange, training and research.
4) To exchange scientific information in the form of publications, instruction materials and other results of teaching and research.
5) To encourage joint paper publication and co-organization of symposium/seminar/workshop.</x:v>
      </x:c>
      <x:c r="G52" s="11" t="n">
        <x:v>45943.5</x:v>
      </x:c>
      <x:c r="H52" s="11" t="n">
        <x:v>47768.5</x:v>
      </x:c>
      <x:c r="I52" s="7" t="str">
        <x:f>TEXT(G52,"dd mmm yyyy")&amp;" – "&amp;TEXT(H52,"dd mmm yyyy")</x:f>
        <x:v>13 Oct 2025 – 12 Oct 2030</x:v>
      </x:c>
      <x:c r="J52" s="7" t="str">
        <x:f>IF(H52&lt;TODAY(),"Expired","Active")</x:f>
        <x:v>Active</x:v>
      </x:c>
      <x:c r="K52" s="15" t="str">
        <x:v>https://drive.google.com/file/d/1IdvuYxQZ823yaOU531olQX4pqhcgfojo/view?usp=drive_link</x:v>
      </x:c>
    </x:row>
    <x:row r="53" ht="42" customHeight="1">
      <x:c r="A53" s="9" t="str">
        <x:v>MOU-2025-009</x:v>
      </x:c>
      <x:c r="B53" s="9" t="str">
        <x:v>MoU_Tianjin Agricultural University_China_2025</x:v>
      </x:c>
      <x:c r="C53" s="7" t="n">
        <x:v>9</x:v>
      </x:c>
      <x:c r="D53" s="13" t="str">
        <x:v>Tianjin Agricultural University</x:v>
      </x:c>
      <x:c r="E53" s="13" t="str">
        <x:v>China</x:v>
      </x:c>
      <x:c r="F53" s="13" t="str">
        <x:v>1) Exchange of faculty and/or staff;
2) Exchange of graduate and/or undergraduate student;
3) Exchange of scientific material, publication, and information;
4) Exchange of cultural activity;
5) Joint conferences and academic program;
6) Joint research activity and publication;
7) Joint student programs (including joint degree/ non-degree programs)</x:v>
      </x:c>
      <x:c r="G53" s="11" t="n">
        <x:v>45940.5</x:v>
      </x:c>
      <x:c r="H53" s="11" t="n">
        <x:v>47765.5</x:v>
      </x:c>
      <x:c r="I53" s="7" t="str">
        <x:f>TEXT(G53,"dd mmm yyyy")&amp;" – "&amp;TEXT(H53,"dd mmm yyyy")</x:f>
        <x:v>10 Oct 2025 – 09 Oct 2030</x:v>
      </x:c>
      <x:c r="J53" s="7" t="str">
        <x:f>IF(H53&lt;TODAY(),"Expired","Active")</x:f>
        <x:v>Active</x:v>
      </x:c>
      <x:c r="K53" s="15" t="str">
        <x:v>https://drive.google.com/file/d/1qvotOnvALQ3z8EbRTLNffeVJhU0kMVZ_/view?usp=drive_link</x:v>
      </x:c>
    </x:row>
    <x:row r="54" ht="42" customHeight="1">
      <x:c r="A54" s="9" t="str">
        <x:v>MOU-2025-010</x:v>
      </x:c>
      <x:c r="B54" s="9" t="str">
        <x:v>MoU_Tianjin Foreign Studies University_China_2025</x:v>
      </x:c>
      <x:c r="C54" s="7" t="n">
        <x:v>10</x:v>
      </x:c>
      <x:c r="D54" s="13" t="str">
        <x:v>Tianjin Foreign Studies University</x:v>
      </x:c>
      <x:c r="E54" s="13" t="str">
        <x:v>China</x:v>
      </x:c>
      <x:c r="F54" s="13" t="str">
        <x:v>1) Exchange of faculty and/or staff;
2) Exchange of graduate and/or undergraduate student;
3) Exchange of scientific material, publication, and information;
4) Exchange of cultural activity;
5) Joint conferences and academic program;
6) Joint research activity and publication;
7) Joint student programs (including joint degree/ non-degree programs)</x:v>
      </x:c>
      <x:c r="G54" s="11" t="n">
        <x:v>45908.5</x:v>
      </x:c>
      <x:c r="H54" s="11" t="n">
        <x:v>47733.5</x:v>
      </x:c>
      <x:c r="I54" s="7" t="str">
        <x:f>TEXT(G54,"dd mmm yyyy")&amp;" – "&amp;TEXT(H54,"dd mmm yyyy")</x:f>
        <x:v>08 Sep 2025 – 07 Sep 2030</x:v>
      </x:c>
      <x:c r="J54" s="7" t="str">
        <x:f>IF(H54&lt;TODAY(),"Expired","Active")</x:f>
        <x:v>Active</x:v>
      </x:c>
      <x:c r="K54" s="15" t="str">
        <x:v>https://drive.google.com/file/d/1Xma91L1sqcQR2Vpfr0GwwSpNMeXnHUyU/view?usp=drive_link</x:v>
      </x:c>
    </x:row>
    <x:row r="55" ht="42" customHeight="1">
      <x:c r="A55" s="9" t="str">
        <x:v>MOU-2025-011</x:v>
      </x:c>
      <x:c r="B55" s="9" t="str">
        <x:v>MoU_National University Hospital (Singapore) PTE LTD_Singapore_2025</x:v>
      </x:c>
      <x:c r="C55" s="7" t="n">
        <x:v>11</x:v>
      </x:c>
      <x:c r="D55" s="13" t="str">
        <x:v>National University Hospital (Singapore) PTE LTD</x:v>
      </x:c>
      <x:c r="E55" s="13" t="str">
        <x:v>Singapore</x:v>
      </x:c>
      <x:c r="F55" s="13" t="str">
        <x:v>1) Medical, academic, and operational exchanges such as observership, fellowship, attachment, etc. for NUH and UB,
2) Exchanges of healthcare advisory between two parties on clinical service line development, and shared care programme,
3) Research collaboration,
4) Any other further collaborative areas as identified by NUH and UB.</x:v>
      </x:c>
      <x:c r="G55" s="11" t="n">
        <x:v>45901.5</x:v>
      </x:c>
      <x:c r="H55" s="11" t="n">
        <x:v>46477.5</x:v>
      </x:c>
      <x:c r="I55" s="7" t="str">
        <x:f>TEXT(G55,"dd mmm yyyy")&amp;" – "&amp;TEXT(H55,"dd mmm yyyy")</x:f>
        <x:v>01 Sep 2025 – 31 Mar 2027</x:v>
      </x:c>
      <x:c r="J55" s="7" t="str">
        <x:f>IF(H55&lt;TODAY(),"Expired","Active")</x:f>
        <x:v>Active</x:v>
      </x:c>
      <x:c r="K55" s="15" t="str">
        <x:v>https://drive.google.com/file/d/1eZEaBgY1cY1X4I2Jn8OIW9pR-GfvvNEo/view?usp=drive_link</x:v>
      </x:c>
    </x:row>
    <x:row r="56" ht="42" customHeight="1">
      <x:c r="A56" s="9" t="str">
        <x:v>MOU-2025-012</x:v>
      </x:c>
      <x:c r="B56" s="9" t="str">
        <x:v>MoU_Woosong University_South Korea_2025</x:v>
      </x:c>
      <x:c r="C56" s="7" t="n">
        <x:v>12</x:v>
      </x:c>
      <x:c r="D56" s="13" t="str">
        <x:v>Woosong University</x:v>
      </x:c>
      <x:c r="E56" s="13" t="str">
        <x:v>South Korea</x:v>
      </x:c>
      <x:c r="F56" s="13" t="str">
        <x:v>(a) Identification of opportunities for exchange of students, faculty, and staff.
(b) Establishment of programs that will enable interested and qualified students and university personnel to pursue either short-term or extended programs of study in each other's institutions.
(c) Facilitation of authorized officials from each university for the purpose of studying the other’s operating system to develop cooperative mechanisms and to expand areas of cooperation.
(d) Create awareness for students, faculty and staff of the academic programs, research institutes, and educational resources of each other’s institutions.</x:v>
      </x:c>
      <x:c r="G56" s="11" t="n">
        <x:v>45899.5</x:v>
      </x:c>
      <x:c r="H56" s="11" t="n">
        <x:v>46994.5</x:v>
      </x:c>
      <x:c r="I56" s="7" t="str">
        <x:f>TEXT(G56,"dd mmm yyyy")&amp;" – "&amp;TEXT(H56,"dd mmm yyyy")</x:f>
        <x:v>30 Aug 2025 – 29 Aug 2028</x:v>
      </x:c>
      <x:c r="J56" s="7" t="str">
        <x:f>IF(H56&lt;TODAY(),"Expired","Active")</x:f>
        <x:v>Active</x:v>
      </x:c>
      <x:c r="K56" s="15" t="str">
        <x:v>https://drive.google.com/file/d/1jP6_pxELFWKb9wMaP2-oGO4wgTB2QOkG/view?usp=drive_link</x:v>
      </x:c>
    </x:row>
    <x:row r="57" ht="42" customHeight="1">
      <x:c r="A57" s="9" t="str">
        <x:v>MOU-2025-013</x:v>
      </x:c>
      <x:c r="B57" s="9" t="str">
        <x:v>MoU_Sichuan International Studies University_China_2025</x:v>
      </x:c>
      <x:c r="C57" s="7" t="n">
        <x:v>13</x:v>
      </x:c>
      <x:c r="D57" s="13" t="str">
        <x:v>Sichuan International Studies University</x:v>
      </x:c>
      <x:c r="E57" s="13" t="str">
        <x:v>China</x:v>
      </x:c>
      <x:c r="F57" s="13" t="str">
        <x:v>1) Exchange of faculty and/or staff;
2) Exchange of graduate and/or undergraduate student;
3) Exchange of scientific material, publication, and information;
4) Exchange of cultural activity;
5) Joint conferences and academic program;
6) Joint research activity and publication;
7) Joint student programs (including joint degree/ non-degree programs)</x:v>
      </x:c>
      <x:c r="G57" s="11" t="n">
        <x:v>45897.5</x:v>
      </x:c>
      <x:c r="H57" s="11" t="n">
        <x:v>47722.5</x:v>
      </x:c>
      <x:c r="I57" s="7" t="str">
        <x:f>TEXT(G57,"dd mmm yyyy")&amp;" – "&amp;TEXT(H57,"dd mmm yyyy")</x:f>
        <x:v>28 Aug 2025 – 27 Aug 2030</x:v>
      </x:c>
      <x:c r="J57" s="7" t="str">
        <x:f>IF(H57&lt;TODAY(),"Expired","Active")</x:f>
        <x:v>Active</x:v>
      </x:c>
      <x:c r="K57" s="15" t="str">
        <x:v>https://drive.google.com/file/d/1cFh9r3-4NocLhyp6LM9ZW-OSOBvf83MB/view?usp=drive_link</x:v>
      </x:c>
    </x:row>
    <x:row r="58" ht="42" customHeight="1">
      <x:c r="A58" s="9" t="str">
        <x:v>MOU-2025-014</x:v>
      </x:c>
      <x:c r="B58" s="9" t="str">
        <x:v>MoU_Dalian Neusoft University of Information (DNUI)_China_2025</x:v>
      </x:c>
      <x:c r="C58" s="7" t="n">
        <x:v>14</x:v>
      </x:c>
      <x:c r="D58" s="13" t="str">
        <x:v>Dalian Neusoft University of Information (DNUI)</x:v>
      </x:c>
      <x:c r="E58" s="13" t="str">
        <x:v>China</x:v>
      </x:c>
      <x:c r="F58" s="13" t="str">
        <x:v>1) Interinstitutional visits 
2) Study Abroad programs 
3) The Neusoft Digital Business Learning and Internship program</x:v>
      </x:c>
      <x:c r="G58" s="11" t="n">
        <x:v>45894.5</x:v>
      </x:c>
      <x:c r="H58" s="11" t="n">
        <x:v>47719.5</x:v>
      </x:c>
      <x:c r="I58" s="7" t="str">
        <x:f>TEXT(G58,"dd mmm yyyy")&amp;" – "&amp;TEXT(H58,"dd mmm yyyy")</x:f>
        <x:v>25 Aug 2025 – 24 Aug 2030</x:v>
      </x:c>
      <x:c r="J58" s="7" t="str">
        <x:f>IF(H58&lt;TODAY(),"Expired","Active")</x:f>
        <x:v>Active</x:v>
      </x:c>
      <x:c r="K58" s="15" t="str">
        <x:v>https://drive.google.com/file/d/15RAUtl20hTZGmimiXtLb9X0Tak5AmstC/view?usp=drive_link</x:v>
      </x:c>
    </x:row>
    <x:row r="59" ht="42" customHeight="1">
      <x:c r="A59" s="9" t="str">
        <x:v>MOU-2025-015</x:v>
      </x:c>
      <x:c r="B59" s="9" t="str">
        <x:v>MoU_University of Faisalabad (TUF)_Pakistan_2025</x:v>
      </x:c>
      <x:c r="C59" s="7" t="n">
        <x:v>15</x:v>
      </x:c>
      <x:c r="D59" s="13" t="str">
        <x:v>University of Faisalabad (TUF)</x:v>
      </x:c>
      <x:c r="E59" s="13" t="str">
        <x:v>Pakistan</x:v>
      </x:c>
      <x:c r="F59" s="13" t="str">
        <x:v>1) Exchange of academic and administrative staff
2) Exchange of students
3) Short term programs for international students
4) Conducting collaborative research projects and joint proposal writings
5) Organizing social, cultural and scientific meetings such as symposium, conferences, workshops and seminars
6) Exchange of University Journals as per publication of new edition to promote international research culture
7) Promoting cooperation in the field of student placements and thesis researches
8) Development of short term educational &amp; training programs for students and staff
9) Promoting collaboration in fields of mutual interest</x:v>
      </x:c>
      <x:c r="G59" s="11" t="n">
        <x:v>45894.5</x:v>
      </x:c>
      <x:c r="H59" s="11" t="n">
        <x:v>47719.5</x:v>
      </x:c>
      <x:c r="I59" s="7" t="str">
        <x:f>TEXT(G59,"dd mmm yyyy")&amp;" – "&amp;TEXT(H59,"dd mmm yyyy")</x:f>
        <x:v>25 Aug 2025 – 24 Aug 2030</x:v>
      </x:c>
      <x:c r="J59" s="7" t="str">
        <x:f>IF(H59&lt;TODAY(),"Expired","Active")</x:f>
        <x:v>Active</x:v>
      </x:c>
      <x:c r="K59" s="15" t="str">
        <x:v>https://drive.google.com/file/d/18hyyTd_thXq6GjHTfhzWHZP-hKn5P-C1/view?usp=drive_link</x:v>
      </x:c>
    </x:row>
    <x:row r="60" ht="42" customHeight="1">
      <x:c r="A60" s="9" t="str">
        <x:v>MOU-2025-016</x:v>
      </x:c>
      <x:c r="B60" s="9" t="str">
        <x:v>MoU_National Quemoy University__2025</x:v>
      </x:c>
      <x:c r="C60" s="7" t="n">
        <x:v>16</x:v>
      </x:c>
      <x:c r="D60" s="13" t="str">
        <x:v>National Quemoy University</x:v>
      </x:c>
      <x:c r="E60" s="13" t="str"/>
      <x:c r="F60" s="13" t="str">
        <x:v>1) Students Exchange Programs
2) Staff Exchange Programs
3) Cultural Exchange Programs
4) Course Development Programs
5) Research Projects Programs
6) Internship Programs
7) Academic Activities Programs</x:v>
      </x:c>
      <x:c r="G60" s="11" t="n">
        <x:v>45889.5</x:v>
      </x:c>
      <x:c r="H60" s="11" t="n">
        <x:v>47714.5</x:v>
      </x:c>
      <x:c r="I60" s="7" t="str">
        <x:f>TEXT(G60,"dd mmm yyyy")&amp;" – "&amp;TEXT(H60,"dd mmm yyyy")</x:f>
        <x:v>20 Aug 2025 – 19 Aug 2030</x:v>
      </x:c>
      <x:c r="J60" s="7" t="str">
        <x:f>IF(H60&lt;TODAY(),"Expired","Active")</x:f>
        <x:v>Active</x:v>
      </x:c>
      <x:c r="K60" s="15" t="str">
        <x:v>https://drive.google.com/file/d/1srgJudFIq-aWSzJMedv7rCg8sf2gQ8MP/view?usp=drive_link</x:v>
      </x:c>
    </x:row>
    <x:row r="61" ht="42" customHeight="1">
      <x:c r="A61" s="9" t="str">
        <x:v>MOU-2025-017</x:v>
      </x:c>
      <x:c r="B61" s="9" t="str">
        <x:v>MoU_Bulacan Agricultural State College_Philippines_2025</x:v>
      </x:c>
      <x:c r="C61" s="7" t="n">
        <x:v>18</x:v>
      </x:c>
      <x:c r="D61" s="13" t="str">
        <x:v>Bulacan Agricultural State College</x:v>
      </x:c>
      <x:c r="E61" s="13" t="str">
        <x:v>Philippines</x:v>
      </x:c>
      <x:c r="F61" s="13" t="str">
        <x:v>a) Exchange of faculty and researchers;
b) Exchange of students;
c) Conduct of collaborative research and extension projects;
d) Conduct of lectures, symposia, capacity-building programs;
e) Exchange of academic information and materials, subject to the limitations of Intellectual Property rights and related laws; and
f) Promote other academic cooperation as mutually agreed.</x:v>
      </x:c>
      <x:c r="G61" s="11" t="n">
        <x:v>45882.5</x:v>
      </x:c>
      <x:c r="H61" s="11" t="n">
        <x:v>47707.5</x:v>
      </x:c>
      <x:c r="I61" s="7" t="str">
        <x:f>TEXT(G61,"dd mmm yyyy")&amp;" – "&amp;TEXT(H61,"dd mmm yyyy")</x:f>
        <x:v>13 Aug 2025 – 12 Aug 2030</x:v>
      </x:c>
      <x:c r="J61" s="7" t="str">
        <x:f>IF(H61&lt;TODAY(),"Expired","Active")</x:f>
        <x:v>Active</x:v>
      </x:c>
      <x:c r="K61" s="15" t="str">
        <x:v>https://drive.google.com/file/d/1UCeFgS7t4TxjYZyG9Auwn3SlUjYWwRtZ/view?usp=drive_link</x:v>
      </x:c>
    </x:row>
    <x:row r="62" ht="42" customHeight="1">
      <x:c r="A62" s="9" t="str">
        <x:v>MOU-2025-018</x:v>
      </x:c>
      <x:c r="B62" s="9" t="str">
        <x:v>MoU_Geely Talent Development Group Co., LTD_China_2025</x:v>
      </x:c>
      <x:c r="C62" s="7" t="n">
        <x:v>17</x:v>
      </x:c>
      <x:c r="D62" s="13" t="str">
        <x:v>Geely Talent Development Group Co., LTD</x:v>
      </x:c>
      <x:c r="E62" s="13" t="str">
        <x:v>China</x:v>
      </x:c>
      <x:c r="F62" s="13" t="str">
        <x:v>a) Establish the Xinwei lnstitute
b) Exchange of students (including student admission)
c) Joint cultural programs
d) Joint research projects
c) Internship programs
d) other joint academic activities for benefit of both parties.</x:v>
      </x:c>
      <x:c r="G62" s="11" t="n">
        <x:v>45882.5</x:v>
      </x:c>
      <x:c r="H62" s="11" t="n">
        <x:v>46977.5</x:v>
      </x:c>
      <x:c r="I62" s="7" t="str">
        <x:f>TEXT(G62,"dd mmm yyyy")&amp;" – "&amp;TEXT(H62,"dd mmm yyyy")</x:f>
        <x:v>13 Aug 2025 – 12 Aug 2028</x:v>
      </x:c>
      <x:c r="J62" s="7" t="str">
        <x:f>IF(H62&lt;TODAY(),"Expired","Active")</x:f>
        <x:v>Active</x:v>
      </x:c>
      <x:c r="K62" s="15" t="str">
        <x:v>https://drive.google.com/file/d/12_833wA_8e2H7DraN6DZnWcE4QU1m3AS/view?usp=drive_link</x:v>
      </x:c>
    </x:row>
    <x:row r="63" ht="42" customHeight="1">
      <x:c r="A63" s="9" t="str">
        <x:v>MOU-2025-019</x:v>
      </x:c>
      <x:c r="B63" s="9" t="str">
        <x:v>MoU_lndonesian Diaspora Network-United (lDN-U)_Indonesia_2025</x:v>
      </x:c>
      <x:c r="C63" s="7" t="n">
        <x:v>19</x:v>
      </x:c>
      <x:c r="D63" s="13" t="str">
        <x:v>lndonesian Diaspora Network-United (lDN-U)</x:v>
      </x:c>
      <x:c r="E63" s="13" t="str">
        <x:v>Indonesia</x:v>
      </x:c>
      <x:c r="F63" s="13" t="str">
        <x:v>1) Academic and Education Development
2) Research and Scientific Development
3) Community Empowerment and Public Service</x:v>
      </x:c>
      <x:c r="G63" s="11" t="n">
        <x:v>45882.5</x:v>
      </x:c>
      <x:c r="H63" s="11" t="n">
        <x:v>47707.5</x:v>
      </x:c>
      <x:c r="I63" s="7" t="str">
        <x:f>TEXT(G63,"dd mmm yyyy")&amp;" – "&amp;TEXT(H63,"dd mmm yyyy")</x:f>
        <x:v>13 Aug 2025 – 12 Aug 2030</x:v>
      </x:c>
      <x:c r="J63" s="7" t="str">
        <x:f>IF(H63&lt;TODAY(),"Expired","Active")</x:f>
        <x:v>Active</x:v>
      </x:c>
      <x:c r="K63" s="15" t="str">
        <x:v>https://drive.google.com/file/d/12NNvJRX05FdapnTlJJsZoUD8gglRCW0W/view?usp=drive_link</x:v>
      </x:c>
    </x:row>
    <x:row r="64" ht="42" customHeight="1">
      <x:c r="A64" s="9" t="str">
        <x:v>MOU-2025-020</x:v>
      </x:c>
      <x:c r="B64" s="9" t="str">
        <x:v>MoU_University of Economics Ho Chi Minh City International School of Business_Vietnam_2025</x:v>
      </x:c>
      <x:c r="C64" s="7" t="n">
        <x:v>20</x:v>
      </x:c>
      <x:c r="D64" s="13" t="str">
        <x:v>University of Economics Ho Chi Minh City International School of Business</x:v>
      </x:c>
      <x:c r="E64" s="13" t="str">
        <x:v>Vietnam</x:v>
      </x:c>
      <x:c r="F64" s="13" t="str">
        <x:v>1) Exchange of faculty members
2) Exchange of students
3) Joint research activities
4) Participation in seminars and academic meetings
5) Exchange of academic materials and other information
6) Special short-term academic programs</x:v>
      </x:c>
      <x:c r="G64" s="11" t="n">
        <x:v>45882.5</x:v>
      </x:c>
      <x:c r="H64" s="11" t="n">
        <x:v>47707.5</x:v>
      </x:c>
      <x:c r="I64" s="7" t="str">
        <x:f>TEXT(G64,"dd mmm yyyy")&amp;" – "&amp;TEXT(H64,"dd mmm yyyy")</x:f>
        <x:v>13 Aug 2025 – 12 Aug 2030</x:v>
      </x:c>
      <x:c r="J64" s="7" t="str">
        <x:f>IF(H64&lt;TODAY(),"Expired","Active")</x:f>
        <x:v>Active</x:v>
      </x:c>
      <x:c r="K64" s="15" t="str">
        <x:v>https://drive.google.com/file/d/1AklGT2aQvJEy7cxYvPXGlYes_ea_pqlB/view?usp=drive_link</x:v>
      </x:c>
    </x:row>
    <x:row r="65" ht="42" customHeight="1">
      <x:c r="A65" s="9" t="str">
        <x:v>MOU-2025-021</x:v>
      </x:c>
      <x:c r="B65" s="9" t="str">
        <x:v>MoU_International Islamic University Malaysia_Malaysia_2025</x:v>
      </x:c>
      <x:c r="C65" s="7" t="n">
        <x:v>22</x:v>
      </x:c>
      <x:c r="D65" s="13" t="str">
        <x:v>International Islamic University Malaysia</x:v>
      </x:c>
      <x:c r="E65" s="13" t="str">
        <x:v>Malaysia</x:v>
      </x:c>
      <x:c r="F65" s="13" t="str">
        <x:v>a) Student and staff exchange activities;
b) Academic programmes and collaboration in subjcet of mutual interest;
c) Joint hosting of conferences, seminars, workshops, and symposia in subject of mutual interest;
d) Joint research, joint publication, and joint authorsip in subject of mutual interest;
e) Journal reviewer exchange in subject of mutual interest; and
f) Any other areas of co-operation to be mutually agreed upon by the Parties.</x:v>
      </x:c>
      <x:c r="G65" s="11" t="n">
        <x:v>45877.5</x:v>
      </x:c>
      <x:c r="H65" s="11" t="n">
        <x:v>46972.5</x:v>
      </x:c>
      <x:c r="I65" s="7" t="str">
        <x:f>TEXT(G65,"dd mmm yyyy")&amp;" – "&amp;TEXT(H65,"dd mmm yyyy")</x:f>
        <x:v>08 Aug 2025 – 07 Aug 2028</x:v>
      </x:c>
      <x:c r="J65" s="7" t="str">
        <x:f>IF(H65&lt;TODAY(),"Expired","Active")</x:f>
        <x:v>Active</x:v>
      </x:c>
      <x:c r="K65" s="15" t="str">
        <x:v>https://drive.google.com/file/d/1mVG4OosDdyu_AFSJpXZvxY3saJ-EDR_7/view?usp=drive_link</x:v>
      </x:c>
    </x:row>
    <x:row r="66" ht="42" customHeight="1">
      <x:c r="A66" s="9" t="str">
        <x:v>MOU-2025-022</x:v>
      </x:c>
      <x:c r="B66" s="9" t="str">
        <x:v>MoU_Dr. Emilio B. Espinosa Sr. Memorial State College of Agriculture and Technology (DEBESMSCAT)_Philippines_2025</x:v>
      </x:c>
      <x:c r="C66" s="7" t="n">
        <x:v>21</x:v>
      </x:c>
      <x:c r="D66" s="13" t="str">
        <x:v>Dr. Emilio B. Espinosa Sr. Memorial State College of Agriculture and Technology (DEBESMSCAT)</x:v>
      </x:c>
      <x:c r="E66" s="13" t="str">
        <x:v>Philippines</x:v>
      </x:c>
      <x:c r="F66" s="13" t="str">
        <x:v>1. Exchangs of faculty and/or staff;
2. Exchange of graduate and/or undergraduate student;
3. Exchange of scientific material, publication, and information;
4. Exchange of cuttural activity;
5. Joint conferences and academic program; and/or
6. Joint research aclivity and publication.</x:v>
      </x:c>
      <x:c r="G66" s="11" t="n">
        <x:v>45873.5</x:v>
      </x:c>
      <x:c r="H66" s="11" t="n">
        <x:v>47698.5</x:v>
      </x:c>
      <x:c r="I66" s="7" t="str">
        <x:f>TEXT(G66,"dd mmm yyyy")&amp;" – "&amp;TEXT(H66,"dd mmm yyyy")</x:f>
        <x:v>04 Aug 2025 – 03 Aug 2030</x:v>
      </x:c>
      <x:c r="J66" s="7" t="str">
        <x:f>IF(H66&lt;TODAY(),"Expired","Active")</x:f>
        <x:v>Active</x:v>
      </x:c>
      <x:c r="K66" s="15" t="str">
        <x:v>https://drive.google.com/file/d/1iKktnxUTnI45Jnfb8Q3GexhArhMJsoK1/view?usp=drive_link</x:v>
      </x:c>
    </x:row>
    <x:row r="67" ht="42" customHeight="1">
      <x:c r="A67" s="9" t="str">
        <x:v>MOU-2025-023</x:v>
      </x:c>
      <x:c r="B67" s="9" t="str">
        <x:v>MoU_Universidad Autónoma del Estado de Hidalgo (UAEH)_Mexico_2025</x:v>
      </x:c>
      <x:c r="C67" s="7" t="n">
        <x:v>23</x:v>
      </x:c>
      <x:c r="D67" s="13" t="str">
        <x:v>Universidad Autónoma del Estado de Hidalgo (UAEH)</x:v>
      </x:c>
      <x:c r="E67" s="13" t="str">
        <x:v>Mexico</x:v>
      </x:c>
      <x:c r="F67" s="13" t="str">
        <x:v>1) Reciprocal exchange of faculty and staff
2) Student exchange
3) To encourage and foster the exchange of academic materials, joint research projects, and educational programs
4) Sharing of scientific materials, publications and information
5) Collaborative professional development
6) Other activities as specified or mutually agreed upon to strengthen cooperation
7) COIL – Collaborative Online International Learning</x:v>
      </x:c>
      <x:c r="G67" s="11" t="n">
        <x:v>45871.5</x:v>
      </x:c>
      <x:c r="H67" s="11" t="n">
        <x:v>47696.5</x:v>
      </x:c>
      <x:c r="I67" s="7" t="str">
        <x:f>TEXT(G67,"dd mmm yyyy")&amp;" – "&amp;TEXT(H67,"dd mmm yyyy")</x:f>
        <x:v>02 Aug 2025 – 01 Aug 2030</x:v>
      </x:c>
      <x:c r="J67" s="7" t="str">
        <x:f>IF(H67&lt;TODAY(),"Expired","Active")</x:f>
        <x:v>Active</x:v>
      </x:c>
      <x:c r="K67" s="15" t="str">
        <x:v>https://drive.google.com/file/d/1Uszdgg4En2uatPkt1E0WwrCv7JndLHBg/view?usp=drive_link</x:v>
      </x:c>
    </x:row>
    <x:row r="68" ht="42" customHeight="1">
      <x:c r="A68" s="9" t="str">
        <x:v>MOU-2025-024</x:v>
      </x:c>
      <x:c r="B68" s="9" t="str">
        <x:v>MoU_Can Tho University_Vietnam_2025</x:v>
      </x:c>
      <x:c r="C68" s="7" t="n">
        <x:v>24</x:v>
      </x:c>
      <x:c r="D68" s="13" t="str">
        <x:v>Can Tho University</x:v>
      </x:c>
      <x:c r="E68" s="13" t="str">
        <x:v>Vietnam</x:v>
      </x:c>
      <x:c r="F68" s="13" t="str">
        <x:v>(1) Exchange of professors, lecturers, research scholars and staff members;
(2) Exchange of undergraduate and graduate students;
(3) Exchange of scientific materials, publications and other information of mutual interest:
(4) Collaborative activities such as joint research. symposia, etc.</x:v>
      </x:c>
      <x:c r="G68" s="11" t="n">
        <x:v>45860.5</x:v>
      </x:c>
      <x:c r="H68" s="11" t="n">
        <x:v>47685.5</x:v>
      </x:c>
      <x:c r="I68" s="7" t="str">
        <x:f>TEXT(G68,"dd mmm yyyy")&amp;" – "&amp;TEXT(H68,"dd mmm yyyy")</x:f>
        <x:v>22 Jul 2025 – 21 Jul 2030</x:v>
      </x:c>
      <x:c r="J68" s="7" t="str">
        <x:f>IF(H68&lt;TODAY(),"Expired","Active")</x:f>
        <x:v>Active</x:v>
      </x:c>
      <x:c r="K68" s="15" t="str">
        <x:v>https://drive.google.com/file/d/1Jj3QqzyyxnqHp7kDvT2x4J0SftMv3Bsw/view?usp=drive_link</x:v>
      </x:c>
    </x:row>
    <x:row r="69" ht="42" customHeight="1">
      <x:c r="A69" s="9" t="str">
        <x:v>MOU-2025-025</x:v>
      </x:c>
      <x:c r="B69" s="9" t="str">
        <x:v>MoU_Cukurova University_Turkey_2025</x:v>
      </x:c>
      <x:c r="C69" s="7" t="n">
        <x:v>25</x:v>
      </x:c>
      <x:c r="D69" s="13" t="str">
        <x:v>Cukurova University</x:v>
      </x:c>
      <x:c r="E69" s="13" t="str">
        <x:v>Turkey</x:v>
      </x:c>
      <x:c r="F69" s="13" t="str">
        <x:v>a) Exchange of academic and administrative staff,
b) Exchange of students,
c) Joint scientific research and studies,
d) Participation in seminars and academic meetings,
e) Exchange of published academic materials and other information.</x:v>
      </x:c>
      <x:c r="G69" s="11" t="n">
        <x:v>45859.5</x:v>
      </x:c>
      <x:c r="H69" s="11" t="n">
        <x:v>47684.5</x:v>
      </x:c>
      <x:c r="I69" s="7" t="str">
        <x:f>TEXT(G69,"dd mmm yyyy")&amp;" – "&amp;TEXT(H69,"dd mmm yyyy")</x:f>
        <x:v>21 Jul 2025 – 20 Jul 2030</x:v>
      </x:c>
      <x:c r="J69" s="7" t="str">
        <x:f>IF(H69&lt;TODAY(),"Expired","Active")</x:f>
        <x:v>Active</x:v>
      </x:c>
      <x:c r="K69" s="15" t="str">
        <x:v>https://drive.google.com/file/d/16NtOVAQ0ujMT83uO95Ylxqgly2nOLywM/view?usp=drive_link</x:v>
      </x:c>
    </x:row>
    <x:row r="70" ht="42" customHeight="1">
      <x:c r="A70" s="9" t="str">
        <x:v>MOU-2025-026</x:v>
      </x:c>
      <x:c r="B70" s="9" t="str">
        <x:v>MoU_D-8 International University_Iran_2025</x:v>
      </x:c>
      <x:c r="C70" s="7" t="n">
        <x:v>26</x:v>
      </x:c>
      <x:c r="D70" s="13" t="str">
        <x:v>D-8 International University</x:v>
      </x:c>
      <x:c r="E70" s="13" t="str">
        <x:v>Iran</x:v>
      </x:c>
      <x:c r="F70" s="13" t="str">
        <x:v>Student Exchange</x:v>
      </x:c>
      <x:c r="G70" s="11" t="n">
        <x:v>45857.5</x:v>
      </x:c>
      <x:c r="H70" s="11" t="n">
        <x:v>47682.5</x:v>
      </x:c>
      <x:c r="I70" s="7" t="str">
        <x:f>TEXT(G70,"dd mmm yyyy")&amp;" – "&amp;TEXT(H70,"dd mmm yyyy")</x:f>
        <x:v>19 Jul 2025 – 18 Jul 2030</x:v>
      </x:c>
      <x:c r="J70" s="7" t="str">
        <x:f>IF(H70&lt;TODAY(),"Expired","Active")</x:f>
        <x:v>Active</x:v>
      </x:c>
      <x:c r="K70" s="15" t="str">
        <x:v>https://drive.google.com/file/d/1Gh-F4Dygcb1euXujQikIhhfmBhNj0eIu/view?usp=drive_link</x:v>
      </x:c>
    </x:row>
    <x:row r="71" ht="42" customHeight="1">
      <x:c r="A71" s="9" t="str">
        <x:v>MOU-2025-027</x:v>
      </x:c>
      <x:c r="B71" s="9" t="str">
        <x:v>MoU_Da-Yeh University_Taiwan_2025</x:v>
      </x:c>
      <x:c r="C71" s="7" t="n">
        <x:v>27</x:v>
      </x:c>
      <x:c r="D71" s="13" t="str">
        <x:v>Da-Yeh University</x:v>
      </x:c>
      <x:c r="E71" s="13" t="str">
        <x:v>Taiwan</x:v>
      </x:c>
      <x:c r="F71" s="13" t="str">
        <x:v>(1) joint research activities (including exchanging faculty members and research students);
(2) joint teaching or supervision of students;
(3) staging of joint seminars, conferences, and academic meetings;
(4) special academic programs;
(5) education Abroad on the part of undergraduate and postgraduate students, including exchanges, internships, electives, and practicum;
(6) exchange of academic materials and other information;
(7) collaborative academic programs may involve cultural activities and field visits. These may be for groups or individuals in independent guided study programs; dan
(8) joint collaborative grant proposals</x:v>
      </x:c>
      <x:c r="G71" s="11" t="n">
        <x:v>45853.5</x:v>
      </x:c>
      <x:c r="H71" s="11" t="n">
        <x:v>47678.5</x:v>
      </x:c>
      <x:c r="I71" s="7" t="str">
        <x:f>TEXT(G71,"dd mmm yyyy")&amp;" – "&amp;TEXT(H71,"dd mmm yyyy")</x:f>
        <x:v>15 Jul 2025 – 14 Jul 2030</x:v>
      </x:c>
      <x:c r="J71" s="7" t="str">
        <x:f>IF(H71&lt;TODAY(),"Expired","Active")</x:f>
        <x:v>Active</x:v>
      </x:c>
      <x:c r="K71" s="15" t="str">
        <x:v>https://drive.google.com/file/d/1F0p5B2gu5UfQndKI5o2qxovNuEQwTTXg/view?usp=drive_link</x:v>
      </x:c>
    </x:row>
    <x:row r="72" ht="42" customHeight="1">
      <x:c r="A72" s="9" t="str">
        <x:v>MOU-2025-028</x:v>
      </x:c>
      <x:c r="B72" s="9" t="str">
        <x:v>MoU_T.S.D. CONSULTING LLP_Singapore_2025</x:v>
      </x:c>
      <x:c r="C72" s="7" t="n">
        <x:v>28</x:v>
      </x:c>
      <x:c r="D72" s="13" t="str">
        <x:v>T.S.D. CONSULTING LLP</x:v>
      </x:c>
      <x:c r="E72" s="13" t="str">
        <x:v>Singapore</x:v>
      </x:c>
      <x:c r="F72" s="13" t="str">
        <x:v>1. Exchangs of faculty and/or staff;
2. Exchange of graduate and/or undergraduate student;
3. Exchange of scientific material, publication, and information;
4. Exchange of cuttural activity;
5. Joint conferences and academic program; and/or
6. Joint research aclivity and publication;</x:v>
      </x:c>
      <x:c r="G72" s="11" t="n">
        <x:v>45853.5</x:v>
      </x:c>
      <x:c r="H72" s="11" t="n">
        <x:v>47678.5</x:v>
      </x:c>
      <x:c r="I72" s="7" t="str">
        <x:f>TEXT(G72,"dd mmm yyyy")&amp;" – "&amp;TEXT(H72,"dd mmm yyyy")</x:f>
        <x:v>15 Jul 2025 – 14 Jul 2030</x:v>
      </x:c>
      <x:c r="J72" s="7" t="str">
        <x:f>IF(H72&lt;TODAY(),"Expired","Active")</x:f>
        <x:v>Active</x:v>
      </x:c>
      <x:c r="K72" s="15" t="str">
        <x:v>https://drive.google.com/file/d/1uKpMjdT7mMRrLGaeu3s9K_kog1ChL3wF/view?usp=drive_link</x:v>
      </x:c>
    </x:row>
    <x:row r="73" ht="42" customHeight="1">
      <x:c r="A73" s="9" t="str">
        <x:v>MOU-2025-029</x:v>
      </x:c>
      <x:c r="B73" s="9" t="str">
        <x:v>MoU_Western Sydney University_Australia_2025</x:v>
      </x:c>
      <x:c r="C73" s="7" t="n">
        <x:v>29</x:v>
      </x:c>
      <x:c r="D73" s="13" t="str">
        <x:v>Western Sydney University</x:v>
      </x:c>
      <x:c r="E73" s="13" t="str">
        <x:v>Australia</x:v>
      </x:c>
      <x:c r="F73" s="13" t="str">
        <x:v>(i)   collaborative research projects;
(ii)  joint activities such as conferences, seminars, symposia and lectures;
(iii) joint publications and other scholarly activities;
(iv)  joint academic programs and joint curricula;
(v)   opportunities for academic staff and student mobility; and
(vi)  other collaborative activities mutually agreed in writing.</x:v>
      </x:c>
      <x:c r="G73" s="11" t="n">
        <x:v>45852.5</x:v>
      </x:c>
      <x:c r="H73" s="11" t="n">
        <x:v>47677.5</x:v>
      </x:c>
      <x:c r="I73" s="7" t="str">
        <x:f>TEXT(G73,"dd mmm yyyy")&amp;" – "&amp;TEXT(H73,"dd mmm yyyy")</x:f>
        <x:v>14 Jul 2025 – 13 Jul 2030</x:v>
      </x:c>
      <x:c r="J73" s="7" t="str">
        <x:f>IF(H73&lt;TODAY(),"Expired","Active")</x:f>
        <x:v>Active</x:v>
      </x:c>
      <x:c r="K73" s="15" t="str">
        <x:v>https://drive.google.com/file/d/1ytATLvI79bUYafQRVOPHSgN97Nn6S6gS/view?usp=drive_link</x:v>
      </x:c>
    </x:row>
    <x:row r="74" ht="42" customHeight="1">
      <x:c r="A74" s="9" t="str">
        <x:v>MOU-2025-030</x:v>
      </x:c>
      <x:c r="B74" s="9" t="str">
        <x:v>MoU_Saga University_Japan_2025</x:v>
      </x:c>
      <x:c r="C74" s="7" t="n">
        <x:v>30</x:v>
      </x:c>
      <x:c r="D74" s="13" t="str">
        <x:v>Saga University</x:v>
      </x:c>
      <x:c r="E74" s="13" t="str">
        <x:v>Japan</x:v>
      </x:c>
      <x:c r="F74" s="13" t="str">
        <x:v>a) Exchange of faculty and staff members
b) Exchange of students
c) Exchange ofpublications and relevant academic and scholarly information
d) Joint research, lectures and symposia
e) Other activities deemed appropriate by mutual consent</x:v>
      </x:c>
      <x:c r="G74" s="11" t="n">
        <x:v>45840.5</x:v>
      </x:c>
      <x:c r="H74" s="11" t="n">
        <x:v>47665.5</x:v>
      </x:c>
      <x:c r="I74" s="7" t="str">
        <x:f>TEXT(G74,"dd mmm yyyy")&amp;" – "&amp;TEXT(H74,"dd mmm yyyy")</x:f>
        <x:v>02 Jul 2025 – 01 Jul 2030</x:v>
      </x:c>
      <x:c r="J74" s="7" t="str">
        <x:f>IF(H74&lt;TODAY(),"Expired","Active")</x:f>
        <x:v>Active</x:v>
      </x:c>
      <x:c r="K74" s="15" t="str">
        <x:v>https://drive.google.com/file/d/1N20JlCX-NyVOMYUg1WzAj6DvVEKghpKu/view?usp=drive_link</x:v>
      </x:c>
    </x:row>
    <x:row r="75" ht="42" customHeight="1">
      <x:c r="A75" s="9" t="str">
        <x:v>MOU-2025-031</x:v>
      </x:c>
      <x:c r="B75" s="9" t="str">
        <x:v>MoU_University of Liverpool_United Kingdom_2025</x:v>
      </x:c>
      <x:c r="C75" s="7" t="n">
        <x:v>31</x:v>
      </x:c>
      <x:c r="D75" s="13" t="str">
        <x:v>University of Liverpool</x:v>
      </x:c>
      <x:c r="E75" s="13" t="str">
        <x:v>United Kingdom</x:v>
      </x:c>
      <x:c r="F75" s="13" t="str">
        <x:v>1) the exchange of scientific and technical knowledge and materials
2) joint research activities
3) faculty and administrative staff exchanges
4) student exchange at graduate level
5) other activities of mutual interest
6) receiving visiting fee paying students</x:v>
      </x:c>
      <x:c r="G75" s="11" t="n">
        <x:v>45835.5</x:v>
      </x:c>
      <x:c r="H75" s="11" t="n">
        <x:v>47660.5</x:v>
      </x:c>
      <x:c r="I75" s="7" t="str">
        <x:f>TEXT(G75,"dd mmm yyyy")&amp;" – "&amp;TEXT(H75,"dd mmm yyyy")</x:f>
        <x:v>27 Jun 2025 – 26 Jun 2030</x:v>
      </x:c>
      <x:c r="J75" s="7" t="str">
        <x:f>IF(H75&lt;TODAY(),"Expired","Active")</x:f>
        <x:v>Active</x:v>
      </x:c>
      <x:c r="K75" s="15" t="str">
        <x:v>https://drive.google.com/file/d/1LzsOYgZNY47_UF1LF7cqd9HRPmPyfuHB/view?usp=drive_link</x:v>
      </x:c>
    </x:row>
    <x:row r="76" ht="42" customHeight="1">
      <x:c r="A76" s="9" t="str">
        <x:v>MOU-2025-032</x:v>
      </x:c>
      <x:c r="B76" s="9" t="str">
        <x:v>MoU_Kyungnam College of Information and Technology_South Korea_2025</x:v>
      </x:c>
      <x:c r="C76" s="7" t="n">
        <x:v>32</x:v>
      </x:c>
      <x:c r="D76" s="13" t="str">
        <x:v>Kyungnam College of Information and Technology</x:v>
      </x:c>
      <x:c r="E76" s="13" t="str">
        <x:v>South Korea</x:v>
      </x:c>
      <x:c r="F76" s="13" t="str">
        <x:v>1. Academic and educational field
2. Student and staff exchanges, and provide every possible convenience for visitors from their party
3. Cultural exchanges for students</x:v>
      </x:c>
      <x:c r="G76" s="11" t="n">
        <x:v>45834.5</x:v>
      </x:c>
      <x:c r="H76" s="11" t="n">
        <x:v>47659.5</x:v>
      </x:c>
      <x:c r="I76" s="7" t="str">
        <x:f>TEXT(G76,"dd mmm yyyy")&amp;" – "&amp;TEXT(H76,"dd mmm yyyy")</x:f>
        <x:v>26 Jun 2025 – 25 Jun 2030</x:v>
      </x:c>
      <x:c r="J76" s="7" t="str">
        <x:f>IF(H76&lt;TODAY(),"Expired","Active")</x:f>
        <x:v>Active</x:v>
      </x:c>
      <x:c r="K76" s="15" t="str">
        <x:v>https://drive.google.com/file/d/1d3eIXNS32eL7XfSV_o7QauD4x9YDb299/view?usp=drive_link</x:v>
      </x:c>
    </x:row>
    <x:row r="77" ht="42" customHeight="1">
      <x:c r="A77" s="9" t="str">
        <x:v>MOU-2025-033</x:v>
      </x:c>
      <x:c r="B77" s="9" t="str">
        <x:v>MoU_‌Shijiazhuang Tiedao University (STDU)_China_2025</x:v>
      </x:c>
      <x:c r="C77" s="7" t="n">
        <x:v>33</x:v>
      </x:c>
      <x:c r="D77" s="13" t="str">
        <x:v>‌Shijiazhuang Tiedao University (STDU)</x:v>
      </x:c>
      <x:c r="E77" s="13" t="str">
        <x:v>China</x:v>
      </x:c>
      <x:c r="F77" s="13" t="str">
        <x:v>Student Exchange</x:v>
      </x:c>
      <x:c r="G77" s="11" t="n">
        <x:v>45825.5</x:v>
      </x:c>
      <x:c r="H77" s="11" t="n">
        <x:v>46920.5</x:v>
      </x:c>
      <x:c r="I77" s="7" t="str">
        <x:f>TEXT(G77,"dd mmm yyyy")&amp;" – "&amp;TEXT(H77,"dd mmm yyyy")</x:f>
        <x:v>17 Jun 2025 – 16 Jun 2028</x:v>
      </x:c>
      <x:c r="J77" s="7" t="str">
        <x:f>IF(H77&lt;TODAY(),"Expired","Active")</x:f>
        <x:v>Active</x:v>
      </x:c>
      <x:c r="K77" s="15" t="str">
        <x:v>https://drive.google.com/file/d/1ts4lE_rzB1z5o2GNgenGpwqtk2gpPNil/view?usp=drive_link</x:v>
      </x:c>
    </x:row>
    <x:row r="78" ht="42" customHeight="1">
      <x:c r="A78" s="9" t="str">
        <x:v>MOU-2025-034</x:v>
      </x:c>
      <x:c r="B78" s="9" t="str">
        <x:v>MoU_MILA University_Malaysia_2025</x:v>
      </x:c>
      <x:c r="C78" s="7" t="n">
        <x:v>34</x:v>
      </x:c>
      <x:c r="D78" s="13" t="str">
        <x:v>MILA University</x:v>
      </x:c>
      <x:c r="E78" s="13" t="str">
        <x:v>Malaysia</x:v>
      </x:c>
      <x:c r="F78" s="13" t="str">
        <x:v>1) Exchanges of academic and administrative staff and mutual visits to pursue research and to lecture
2) Exchanges of students and/or study abroad programmes and other enhancements to the student experience
3) ldentifying opportunities for conducting collaborative research and development
4) ldentifying opportunities for conducting lectures and seminars and organising symposia and conferences
5) Exchanges of academic information and materials
6) Promoting collaboration in fields of mutual interest
7) Promoting other academic co-operation and collaboration as mutually agreed.</x:v>
      </x:c>
      <x:c r="G78" s="11" t="n">
        <x:v>45824.5</x:v>
      </x:c>
      <x:c r="H78" s="11" t="n">
        <x:v>47649.5</x:v>
      </x:c>
      <x:c r="I78" s="7" t="str">
        <x:f>TEXT(G78,"dd mmm yyyy")&amp;" – "&amp;TEXT(H78,"dd mmm yyyy")</x:f>
        <x:v>16 Jun 2025 – 15 Jun 2030</x:v>
      </x:c>
      <x:c r="J78" s="7" t="str">
        <x:f>IF(H78&lt;TODAY(),"Expired","Active")</x:f>
        <x:v>Active</x:v>
      </x:c>
      <x:c r="K78" s="15" t="str">
        <x:v>https://drive.google.com/file/d/16J-wjrDD6DXfOvKpXO_LPUIsqG9rfdqP/view?usp=drive_link</x:v>
      </x:c>
    </x:row>
    <x:row r="79" ht="42" customHeight="1">
      <x:c r="A79" s="9" t="str">
        <x:v>MOU-2025-035</x:v>
      </x:c>
      <x:c r="B79" s="9" t="str">
        <x:v>MoU_Civilizations Exchange &amp; Cooperation Foundation (CECF)_United States of America_2025</x:v>
      </x:c>
      <x:c r="C79" s="7" t="n">
        <x:v>38</x:v>
      </x:c>
      <x:c r="D79" s="13" t="str">
        <x:v>Civilizations Exchange &amp; Cooperation Foundation (CECF)</x:v>
      </x:c>
      <x:c r="E79" s="13" t="str">
        <x:v>United States of America</x:v>
      </x:c>
      <x:c r="F79" s="13" t="str">
        <x:v>1) Education and Teaching Collaboration
2) Research and Scientific Development
3) Community Empowerment and Public Service
4) Other Colla borative Acad emic lnitiatives</x:v>
      </x:c>
      <x:c r="G79" s="11" t="n">
        <x:v>45821.5</x:v>
      </x:c>
      <x:c r="H79" s="11" t="n">
        <x:v>47646.5</x:v>
      </x:c>
      <x:c r="I79" s="7" t="str">
        <x:f>TEXT(G79,"dd mmm yyyy")&amp;" – "&amp;TEXT(H79,"dd mmm yyyy")</x:f>
        <x:v>13 Jun 2025 – 12 Jun 2030</x:v>
      </x:c>
      <x:c r="J79" s="7" t="str">
        <x:f>IF(H79&lt;TODAY(),"Expired","Active")</x:f>
        <x:v>Active</x:v>
      </x:c>
      <x:c r="K79" s="15" t="str">
        <x:v>https://drive.google.com/file/d/18YgUrbg_CABP7_tKzalw1NU4yXL_Md06/view?usp=drive_link</x:v>
      </x:c>
    </x:row>
    <x:row r="80" ht="42" customHeight="1">
      <x:c r="A80" s="9" t="str">
        <x:v>MOU-2025-036</x:v>
      </x:c>
      <x:c r="B80" s="9" t="str">
        <x:v>MoU_International Research and Network Consortium (IRNC), Shinawatra University (SIU)_Thailand_2025</x:v>
      </x:c>
      <x:c r="C80" s="7" t="n">
        <x:v>35</x:v>
      </x:c>
      <x:c r="D80" s="13" t="str">
        <x:v>International Research and Network Consortium (IRNC), Shinawatra University (SIU)</x:v>
      </x:c>
      <x:c r="E80" s="13" t="str">
        <x:v>Thailand</x:v>
      </x:c>
      <x:c r="F80" s="13" t="str">
        <x:v>1) Facilitating the implementation of the Annual Sustainable Development Forum
2) Coordinating International Academic Exchange &amp; Events
3) Supporting International Research Collaboration initiatives
4) Managing Student and Faculty Exchange Programs
5) Assisting with International Employment and Career Development opportunities
6) Serving as a recruitment coordinator for international students specifically Chinese students
7) Assessing the feasibility of establishing an affiliated academic branch
8) Coordinating Quality Enhancement and Reputation Building initiatives</x:v>
      </x:c>
      <x:c r="G80" s="11" t="n">
        <x:v>45821.5</x:v>
      </x:c>
      <x:c r="H80" s="11" t="n">
        <x:v>47646.5</x:v>
      </x:c>
      <x:c r="I80" s="7" t="str">
        <x:f>TEXT(G80,"dd mmm yyyy")&amp;" – "&amp;TEXT(H80,"dd mmm yyyy")</x:f>
        <x:v>13 Jun 2025 – 12 Jun 2030</x:v>
      </x:c>
      <x:c r="J80" s="7" t="str">
        <x:f>IF(H80&lt;TODAY(),"Expired","Active")</x:f>
        <x:v>Active</x:v>
      </x:c>
      <x:c r="K80" s="15" t="str">
        <x:v>https://drive.google.com/file/d/1hj9qpoUMZw3AY3p5iFMOHST42Fg6UhIO/view?usp=drive_link</x:v>
      </x:c>
    </x:row>
    <x:row r="81" ht="42" customHeight="1">
      <x:c r="A81" s="9" t="str">
        <x:v>MOU-2025-037</x:v>
      </x:c>
      <x:c r="B81" s="9" t="str">
        <x:v>MoU_University of Ostrava_Czechia_2025</x:v>
      </x:c>
      <x:c r="C81" s="7" t="n">
        <x:v>37</x:v>
      </x:c>
      <x:c r="D81" s="13" t="str">
        <x:v>University of Ostrava</x:v>
      </x:c>
      <x:c r="E81" s="13" t="str">
        <x:v>Czechia</x:v>
      </x:c>
      <x:c r="F81" s="13" t="str">
        <x:v>1) Promote institutional exchange through mobility of academic, research and administrative personnel of the partner institutions to participate in a variety of teaching, research and professional development activities;
2) Promote interest in the teaching and research activities of the respective institutions;
3) Seek opportunities to receive students on exchange of the partner institution
4) Seek opportunities for joint research projects;
5) Seek to develop double-degree programmes between the respective institutions;
6) Seek to develop professional and industrial training for respective students and academic staff;
7) Seek opportunities for Joint grant applications;
8) Promote Staff Capacity development through scholarships;
9) Organize symposia, conferences, short courses and meetings on research and academic issues.</x:v>
      </x:c>
      <x:c r="G81" s="11" t="n">
        <x:v>45821.5</x:v>
      </x:c>
      <x:c r="H81" s="11" t="n">
        <x:v>47646.5</x:v>
      </x:c>
      <x:c r="I81" s="7" t="str">
        <x:f>TEXT(G81,"dd mmm yyyy")&amp;" – "&amp;TEXT(H81,"dd mmm yyyy")</x:f>
        <x:v>13 Jun 2025 – 12 Jun 2030</x:v>
      </x:c>
      <x:c r="J81" s="7" t="str">
        <x:f>IF(H81&lt;TODAY(),"Expired","Active")</x:f>
        <x:v>Active</x:v>
      </x:c>
      <x:c r="K81" s="15" t="str">
        <x:v>https://drive.google.com/file/d/1VpwuiN6BmVfoEMJv5XqTkoLUEWl5TaMy/view?usp=drive_link</x:v>
      </x:c>
    </x:row>
    <x:row r="82" ht="42" customHeight="1">
      <x:c r="A82" s="9" t="str">
        <x:v>MOU-2025-038</x:v>
      </x:c>
      <x:c r="B82" s="9" t="str">
        <x:v>MoU_University of the Philippines_Philippines_2025</x:v>
      </x:c>
      <x:c r="C82" s="7" t="n">
        <x:v>36</x:v>
      </x:c>
      <x:c r="D82" s="13" t="str">
        <x:v>University of the Philippines</x:v>
      </x:c>
      <x:c r="E82" s="13" t="str">
        <x:v>Philippines</x:v>
      </x:c>
      <x:c r="F82" s="13" t="str">
        <x:v>a) Joint Research and Community Services;
b) Consultancy Services;
c) Exchange of information, including, but not limited to research publications;
d) Participation in seminars, lectures and academic meetings;
e) Exchange of students;
f) Exchange of faculty for part-time teaching.</x:v>
      </x:c>
      <x:c r="G82" s="11" t="n">
        <x:v>45821.5</x:v>
      </x:c>
      <x:c r="H82" s="11" t="n">
        <x:v>47646.5</x:v>
      </x:c>
      <x:c r="I82" s="7" t="str">
        <x:f>TEXT(G82,"dd mmm yyyy")&amp;" – "&amp;TEXT(H82,"dd mmm yyyy")</x:f>
        <x:v>13 Jun 2025 – 12 Jun 2030</x:v>
      </x:c>
      <x:c r="J82" s="7" t="str">
        <x:f>IF(H82&lt;TODAY(),"Expired","Active")</x:f>
        <x:v>Active</x:v>
      </x:c>
      <x:c r="K82" s="15" t="str">
        <x:v>https://drive.google.com/file/d/1ue25Z6QwkzHT1wqCnHqWJiYEOchIqW-2/view?usp=drive_link</x:v>
      </x:c>
    </x:row>
    <x:row r="83" ht="42" customHeight="1">
      <x:c r="A83" s="9" t="str">
        <x:v>MOU-2025-039</x:v>
      </x:c>
      <x:c r="B83" s="9" t="str">
        <x:v>MoU_Southeast Asian Regional Center for Graduate Study and Research in Agriculture (SEARCA)_Philippines_2025</x:v>
      </x:c>
      <x:c r="C83" s="7" t="n">
        <x:v>39</x:v>
      </x:c>
      <x:c r="D83" s="13" t="str">
        <x:v>Southeast Asian Regional Center for Graduate Study and Research in Agriculture (SEARCA)</x:v>
      </x:c>
      <x:c r="E83" s="13" t="str">
        <x:v>Philippines</x:v>
      </x:c>
      <x:c r="F83" s="13" t="str">
        <x:v>a) Teaching and learning activities
b) Joint academic events;
c) Research and development activities;
d) Student outreach programs;
e) Student internships;
f) Other academic activities relevant to the missions of both parties.</x:v>
      </x:c>
      <x:c r="G83" s="11" t="n">
        <x:v>45810.5</x:v>
      </x:c>
      <x:c r="H83" s="11" t="n">
        <x:v>47635.5</x:v>
      </x:c>
      <x:c r="I83" s="7" t="str">
        <x:f>TEXT(G83,"dd mmm yyyy")&amp;" – "&amp;TEXT(H83,"dd mmm yyyy")</x:f>
        <x:v>02 Jun 2025 – 01 Jun 2030</x:v>
      </x:c>
      <x:c r="J83" s="7" t="str">
        <x:f>IF(H83&lt;TODAY(),"Expired","Active")</x:f>
        <x:v>Active</x:v>
      </x:c>
      <x:c r="K83" s="15" t="str">
        <x:v>https://drive.google.com/file/d/1pKV8Gy7b3Gx3O7kSZ-IfghZqzqKvgERd/view?usp=drive_link</x:v>
      </x:c>
    </x:row>
    <x:row r="84" ht="42" customHeight="1">
      <x:c r="A84" s="9" t="str">
        <x:v>MOU-2025-040</x:v>
      </x:c>
      <x:c r="B84" s="9" t="str">
        <x:v>MoU_Curtin University_Australia_2025</x:v>
      </x:c>
      <x:c r="C84" s="7" t="n">
        <x:v>40</x:v>
      </x:c>
      <x:c r="D84" s="13" t="str">
        <x:v>Curtin University</x:v>
      </x:c>
      <x:c r="E84" s="13" t="str">
        <x:v>Australia</x:v>
      </x:c>
      <x:c r="F84" s="13" t="str">
        <x:v>a) encourage exchange between the Parties of staff and students;
b) exchange information relating to their scholarly activities in fields of mutual interest;
c) promote appropriate joint scholarly activities, with particular emphasis on internationally funded projects;
d) endeavour to encourage students and staff to spend periods of time in the host institution. The exchange of students will be dependent upon the execution of a formal Student Exchange Agreement mutually agreed between the parties in writing prior to the commencement of this activity;
e) conduct cultural projects, as mutually agreed in writing between the parties, prior to commencement of this activity;
f)  conduct study tours, as mutually agreed ln writing between the parties, prior to the commencement of thls activlty; and
g) provide Study Abroad opportunities to undergraduate and graduate level students as mutually agreed in writing between the parties prior to the commencement of this activity.</x:v>
      </x:c>
      <x:c r="G84" s="11" t="n">
        <x:v>45802.5</x:v>
      </x:c>
      <x:c r="H84" s="11" t="n">
        <x:v>47627.5</x:v>
      </x:c>
      <x:c r="I84" s="7" t="str">
        <x:f>TEXT(G84,"dd mmm yyyy")&amp;" – "&amp;TEXT(H84,"dd mmm yyyy")</x:f>
        <x:v>25 May 2025 – 24 May 2030</x:v>
      </x:c>
      <x:c r="J84" s="7" t="str">
        <x:f>IF(H84&lt;TODAY(),"Expired","Active")</x:f>
        <x:v>Active</x:v>
      </x:c>
      <x:c r="K84" s="15" t="str">
        <x:v>https://drive.google.com/file/d/15nBc2RCJ8HrUOEZ8yCU8Gu_SAwMH5Gng/view?usp=drive_link</x:v>
      </x:c>
    </x:row>
    <x:row r="85" ht="42" customHeight="1">
      <x:c r="A85" s="9" t="str">
        <x:v>MOU-2025-041</x:v>
      </x:c>
      <x:c r="B85" s="9" t="str">
        <x:v>MoU_Myongji University_South Korea_2025</x:v>
      </x:c>
      <x:c r="C85" s="7" t="n">
        <x:v>41</x:v>
      </x:c>
      <x:c r="D85" s="13" t="str">
        <x:v>Myongji University</x:v>
      </x:c>
      <x:c r="E85" s="13" t="str">
        <x:v>South Korea</x:v>
      </x:c>
      <x:c r="F85" s="13" t="str">
        <x:v>1) Exchange of faculty and/or staff;
2) Exchange of graduate and/or undergraduate student;
3) Exchange of scientific material, publication, and information;
4) Exchange of cultural activity;
5) Joint conferences and academic program;
6) Joint research activity and publication;
7) Joint community services activities.</x:v>
      </x:c>
      <x:c r="G85" s="11" t="n">
        <x:v>45797.5</x:v>
      </x:c>
      <x:c r="H85" s="11" t="n">
        <x:v>47622.5</x:v>
      </x:c>
      <x:c r="I85" s="7" t="str">
        <x:f>TEXT(G85,"dd mmm yyyy")&amp;" – "&amp;TEXT(H85,"dd mmm yyyy")</x:f>
        <x:v>20 May 2025 – 19 May 2030</x:v>
      </x:c>
      <x:c r="J85" s="7" t="str">
        <x:f>IF(H85&lt;TODAY(),"Expired","Active")</x:f>
        <x:v>Active</x:v>
      </x:c>
      <x:c r="K85" s="15" t="str">
        <x:v>https://drive.google.com/file/d/1su8vbJwc-DcSTmADpmkUVHsrYFLGljnw/view?usp=drive_link</x:v>
      </x:c>
    </x:row>
    <x:row r="86" ht="42" customHeight="1">
      <x:c r="A86" s="9" t="str">
        <x:v>MOU-2025-042</x:v>
      </x:c>
      <x:c r="B86" s="9" t="str">
        <x:v>MoU_Universiti Sains Malaysia_Malaysia_2025</x:v>
      </x:c>
      <x:c r="C86" s="7" t="n">
        <x:v>42</x:v>
      </x:c>
      <x:c r="D86" s="13" t="str">
        <x:v>Universiti Sains Malaysia</x:v>
      </x:c>
      <x:c r="E86" s="13" t="str">
        <x:v>Malaysia</x:v>
      </x:c>
      <x:c r="F86" s="13" t="str">
        <x:v>a) Exchange of faculty members, researchers and students
b) Exchange of academic literature and information
c) Collaborative research
d) Joint conference
e) Joint lectures
f) Dual Degree Program
g) Post Doctoral Program
h) International Community Services
i) Any other activities to be decided on the basis of mutual agreement by both universities.</x:v>
      </x:c>
      <x:c r="G86" s="11" t="n">
        <x:v>45797.5</x:v>
      </x:c>
      <x:c r="H86" s="11" t="n">
        <x:v>47622.5</x:v>
      </x:c>
      <x:c r="I86" s="7" t="str">
        <x:f>TEXT(G86,"dd mmm yyyy")&amp;" – "&amp;TEXT(H86,"dd mmm yyyy")</x:f>
        <x:v>20 May 2025 – 19 May 2030</x:v>
      </x:c>
      <x:c r="J86" s="7" t="str">
        <x:f>IF(H86&lt;TODAY(),"Expired","Active")</x:f>
        <x:v>Active</x:v>
      </x:c>
      <x:c r="K86" s="15" t="str">
        <x:v>https://drive.google.com/file/d/1HcKC65AIPJjUbWgtHMNLT_a-xcWZDPno/view?usp=drive_link</x:v>
      </x:c>
    </x:row>
    <x:row r="87" ht="42" customHeight="1">
      <x:c r="A87" s="9" t="str">
        <x:v>MOU-2025-043</x:v>
      </x:c>
      <x:c r="B87" s="9" t="str">
        <x:v>MoU_University of Galway_Ireland_2025</x:v>
      </x:c>
      <x:c r="C87" s="7" t="n">
        <x:v>44</x:v>
      </x:c>
      <x:c r="D87" s="13" t="str">
        <x:v>University of Galway</x:v>
      </x:c>
      <x:c r="E87" s="13" t="str">
        <x:v>Ireland</x:v>
      </x:c>
      <x:c r="F87" s="13" t="str">
        <x:v>1) To exchange experience in education and skills development.
2) To jointly participate in staff exchange, student exchange, research, and teaching as well as other activities agreed upon by both parties.
3) The parties agree that units (Colleges, Faculties, Schools) undertaking a particular task under the scope of this agreement will enter into bilateral contracts. Such contracts will specify the details of the cooperation and the amount and source of financing for the common enterprise.</x:v>
      </x:c>
      <x:c r="G87" s="11" t="n">
        <x:v>45784.5</x:v>
      </x:c>
      <x:c r="H87" s="11" t="n">
        <x:v>47609.5</x:v>
      </x:c>
      <x:c r="I87" s="7" t="str">
        <x:f>TEXT(G87,"dd mmm yyyy")&amp;" – "&amp;TEXT(H87,"dd mmm yyyy")</x:f>
        <x:v>07 May 2025 – 06 May 2030</x:v>
      </x:c>
      <x:c r="J87" s="7" t="str">
        <x:f>IF(H87&lt;TODAY(),"Expired","Active")</x:f>
        <x:v>Active</x:v>
      </x:c>
      <x:c r="K87" s="15" t="str">
        <x:v>https://drive.google.com/file/d/1wb-bCaIhUrLHkaLAOwuMpzv-7CdPCEui/view?usp=drive_link</x:v>
      </x:c>
    </x:row>
    <x:row r="88" ht="42" customHeight="1">
      <x:c r="A88" s="9" t="str">
        <x:v>MOU-2025-044</x:v>
      </x:c>
      <x:c r="B88" s="9" t="str">
        <x:v>MoU_University of Otago_New Zealand_2025</x:v>
      </x:c>
      <x:c r="C88" s="7" t="n">
        <x:v>43</x:v>
      </x:c>
      <x:c r="D88" s="13" t="str">
        <x:v>University of Otago</x:v>
      </x:c>
      <x:c r="E88" s="13" t="str">
        <x:v>New Zealand</x:v>
      </x:c>
      <x:c r="F88" s="13" t="str">
        <x:v>•        exchange of information and materials that are of mutual interest,
•        exchange between the two institutions of:
         - academic and administrative staff
         - students
         - other staff mutually agreed upon,
•        provision of briefing services by each institution for visitors from the other institution
•        other forms of co-operation which the two institutions may jointly arrange.</x:v>
      </x:c>
      <x:c r="G88" s="11" t="n">
        <x:v>45784.5</x:v>
      </x:c>
      <x:c r="H88" s="11" t="n">
        <x:v>47609.5</x:v>
      </x:c>
      <x:c r="I88" s="7" t="str">
        <x:f>TEXT(G88,"dd mmm yyyy")&amp;" – "&amp;TEXT(H88,"dd mmm yyyy")</x:f>
        <x:v>07 May 2025 – 06 May 2030</x:v>
      </x:c>
      <x:c r="J88" s="7" t="str">
        <x:f>IF(H88&lt;TODAY(),"Expired","Active")</x:f>
        <x:v>Active</x:v>
      </x:c>
      <x:c r="K88" s="15" t="str">
        <x:v>https://drive.google.com/file/d/1A32isvL90HE4YpxZBIL0VDe8xI1Qj9bd/view?usp=drive_link</x:v>
      </x:c>
    </x:row>
    <x:row r="89" ht="42" customHeight="1">
      <x:c r="A89" s="9" t="str">
        <x:v>MOU-2025-045</x:v>
      </x:c>
      <x:c r="B89" s="9" t="str">
        <x:v>MoU_Alliance University_India_2025</x:v>
      </x:c>
      <x:c r="C89" s="7" t="n">
        <x:v>45</x:v>
      </x:c>
      <x:c r="D89" s="13" t="str">
        <x:v>Alliance University</x:v>
      </x:c>
      <x:c r="E89" s="13" t="str">
        <x:v>India</x:v>
      </x:c>
      <x:c r="F89" s="13" t="str">
        <x:v>1) Exchange of faculty and/or staff;
2) Exchange of graduate and/or undergraduate student;
3) Exchange of scientific material, publication, and information;
4) Exchange of cultural activity;
5) Joint conferences and academic program; and/or
6) Joint research activity and publication;
7) Guest lectures, webinars, knowledge capsules, training, co-guideship to Master students</x:v>
      </x:c>
      <x:c r="G89" s="11" t="n">
        <x:v>45769.5</x:v>
      </x:c>
      <x:c r="H89" s="11" t="n">
        <x:v>47594.5</x:v>
      </x:c>
      <x:c r="I89" s="7" t="str">
        <x:f>TEXT(G89,"dd mmm yyyy")&amp;" – "&amp;TEXT(H89,"dd mmm yyyy")</x:f>
        <x:v>22 Apr 2025 – 21 Apr 2030</x:v>
      </x:c>
      <x:c r="J89" s="7" t="str">
        <x:f>IF(H89&lt;TODAY(),"Expired","Active")</x:f>
        <x:v>Active</x:v>
      </x:c>
      <x:c r="K89" s="15" t="str">
        <x:v>https://drive.google.com/file/d/1iSpyZ-HiFqpG95nyDP4zca7v81uSSGNY/view?usp=drive_link</x:v>
      </x:c>
    </x:row>
    <x:row r="90" ht="42" customHeight="1">
      <x:c r="A90" s="9" t="str">
        <x:v>MOU-2025-046</x:v>
      </x:c>
      <x:c r="B90" s="9" t="str">
        <x:v>MoU_Tottori University_Japan_2025</x:v>
      </x:c>
      <x:c r="C90" s="7" t="n">
        <x:v>46</x:v>
      </x:c>
      <x:c r="D90" s="13" t="str">
        <x:v>Tottori University</x:v>
      </x:c>
      <x:c r="E90" s="13" t="str">
        <x:v>Japan</x:v>
      </x:c>
      <x:c r="F90"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90" s="11" t="n">
        <x:v>45758.5</x:v>
      </x:c>
      <x:c r="H90" s="11" t="n">
        <x:v>47583.5</x:v>
      </x:c>
      <x:c r="I90" s="7" t="str">
        <x:f>TEXT(G90,"dd mmm yyyy")&amp;" – "&amp;TEXT(H90,"dd mmm yyyy")</x:f>
        <x:v>11 Apr 2025 – 10 Apr 2030</x:v>
      </x:c>
      <x:c r="J90" s="7" t="str">
        <x:f>IF(H90&lt;TODAY(),"Expired","Active")</x:f>
        <x:v>Active</x:v>
      </x:c>
      <x:c r="K90" s="15" t="str">
        <x:v>https://drive.google.com/file/d/1w41f8YxwnE_KaBTLEwQa6iw9rBXzy9BT/view?usp=drive_link</x:v>
      </x:c>
    </x:row>
    <x:row r="91" ht="42" customHeight="1">
      <x:c r="A91" s="9" t="str">
        <x:v>MOU-2025-047</x:v>
      </x:c>
      <x:c r="B91" s="9" t="str">
        <x:v>MoU_University of Southampton_United Kingdom_2025</x:v>
      </x:c>
      <x:c r="C91" s="7" t="n">
        <x:v>47</x:v>
      </x:c>
      <x:c r="D91" s="13" t="str">
        <x:v>University of Southampton</x:v>
      </x:c>
      <x:c r="E91" s="13" t="str">
        <x:v>United Kingdom</x:v>
      </x:c>
      <x:c r="F91" s="13" t="str">
        <x:v>1) exchange of scientific, academic, and technical information and appropriate academic materials and other information of mutual interest;
2) academic exchanges, including mutual visits of faculty to pursue research and to lecture, and student exchanges on a reciprocal basis;
3) identifying opportunities for exchanges and cooperation and joint research and development in disciplines of mutual interest;
4) identifying opportunities for commercialisation of technology; and
5) organisation and participation in joint academic and scientific activities such as seminars and conferences.</x:v>
      </x:c>
      <x:c r="G91" s="11" t="n">
        <x:v>45747.5</x:v>
      </x:c>
      <x:c r="H91" s="11" t="n">
        <x:v>46842.5</x:v>
      </x:c>
      <x:c r="I91" s="7" t="str">
        <x:f>TEXT(G91,"dd mmm yyyy")&amp;" – "&amp;TEXT(H91,"dd mmm yyyy")</x:f>
        <x:v>31 Mar 2025 – 30 Mar 2028</x:v>
      </x:c>
      <x:c r="J91" s="7" t="str">
        <x:f>IF(H91&lt;TODAY(),"Expired","Active")</x:f>
        <x:v>Active</x:v>
      </x:c>
      <x:c r="K91" s="15" t="str">
        <x:v>https://drive.google.com/file/d/1KgL2IoV69JK_HmN50I8EIbIq_u9GwYDg/view?usp=drive_link</x:v>
      </x:c>
    </x:row>
    <x:row r="92" ht="42" customHeight="1">
      <x:c r="A92" s="9" t="str">
        <x:v>MOU-2025-048</x:v>
      </x:c>
      <x:c r="B92" s="9" t="str">
        <x:v>MoU_University of Science and Technology of Southern Philippines (USTP)_Philippines_2025</x:v>
      </x:c>
      <x:c r="C92" s="7" t="n">
        <x:v>48</x:v>
      </x:c>
      <x:c r="D92" s="13" t="str">
        <x:v>University of Science and Technology of Southern Philippines (USTP)</x:v>
      </x:c>
      <x:c r="E92" s="13" t="str">
        <x:v>Philippines</x:v>
      </x:c>
      <x:c r="F92" s="13" t="str">
        <x:v>1) Exchange of student, staff, faculty and research scholars
2) Exchange of information on institutional and academic developments, teaching methodologies and research actvities
3) Collaborative activities such a joint workshop, training, webinar, fora and community engagement for extension program among faculty members in both universities, and
4) Any other academic linkages and cooperation such as double degree or twinning program that will be mutually identified and agreed by both universities from time to time.</x:v>
      </x:c>
      <x:c r="G92" s="11" t="n">
        <x:v>45727.5</x:v>
      </x:c>
      <x:c r="H92" s="11" t="n">
        <x:v>46822.5</x:v>
      </x:c>
      <x:c r="I92" s="7" t="str">
        <x:f>TEXT(G92,"dd mmm yyyy")&amp;" – "&amp;TEXT(H92,"dd mmm yyyy")</x:f>
        <x:v>11 Mar 2025 – 10 Mar 2028</x:v>
      </x:c>
      <x:c r="J92" s="7" t="str">
        <x:f>IF(H92&lt;TODAY(),"Expired","Active")</x:f>
        <x:v>Active</x:v>
      </x:c>
      <x:c r="K92" s="15" t="str">
        <x:v>https://drive.google.com/file/d/1i1a5R8eQSDUoCTwBEJZdNI3kSet_PPJR/view?usp=drive_link</x:v>
      </x:c>
    </x:row>
    <x:row r="93" ht="42" customHeight="1">
      <x:c r="A93" s="9" t="str">
        <x:v>MOU-2025-049</x:v>
      </x:c>
      <x:c r="B93" s="9" t="str">
        <x:v>MoU_YOU-I JAPAN_Japan_2025</x:v>
      </x:c>
      <x:c r="C93" s="7" t="n">
        <x:v>49</x:v>
      </x:c>
      <x:c r="D93" s="13" t="str">
        <x:v>YOU-I JAPAN</x:v>
      </x:c>
      <x:c r="E93" s="13" t="str">
        <x:v>Japan</x:v>
      </x:c>
      <x:c r="F93" s="13" t="str">
        <x:v>Internship program</x:v>
      </x:c>
      <x:c r="G93" s="11" t="n">
        <x:v>45721.5</x:v>
      </x:c>
      <x:c r="H93" s="11" t="n">
        <x:v>47546.5</x:v>
      </x:c>
      <x:c r="I93" s="7" t="str">
        <x:f>TEXT(G93,"dd mmm yyyy")&amp;" – "&amp;TEXT(H93,"dd mmm yyyy")</x:f>
        <x:v>05 Mar 2025 – 04 Mar 2030</x:v>
      </x:c>
      <x:c r="J93" s="7" t="str">
        <x:f>IF(H93&lt;TODAY(),"Expired","Active")</x:f>
        <x:v>Active</x:v>
      </x:c>
      <x:c r="K93" s="15" t="str">
        <x:v>https://drive.google.com/file/d/14U00Nh1EcmLFHSoVxwc87YWHSHBnPXNd/view?usp=drive_link</x:v>
      </x:c>
    </x:row>
    <x:row r="94" ht="42" customHeight="1">
      <x:c r="A94" s="9" t="str">
        <x:v>MOU-2025-050</x:v>
      </x:c>
      <x:c r="B94" s="9" t="str">
        <x:v>MoU_Institut Francais d'Indonesie (IFI)_France_2025</x:v>
      </x:c>
      <x:c r="C94" s="7" t="n">
        <x:v>50</x:v>
      </x:c>
      <x:c r="D94" s="13" t="str">
        <x:v>Institut Francais d'Indonesie (IFI)</x:v>
      </x:c>
      <x:c r="E94" s="13" t="str">
        <x:v>France</x:v>
      </x:c>
      <x:c r="F94" s="13" t="str">
        <x:v>Tempat Pelaksanaan Ujian DELF-DALF, yaitu UB, dan sebuah Pusat Ujian DELF-DALF di Indonesia, yaitu perwakilan IFI-cabang Surabaya, yang bergantung kepada CNE.</x:v>
      </x:c>
      <x:c r="G94" s="11" t="n">
        <x:v>45716.5</x:v>
      </x:c>
      <x:c r="H94" s="11" t="n">
        <x:v>46445.5</x:v>
      </x:c>
      <x:c r="I94" s="7" t="str">
        <x:f>TEXT(G94,"dd mmm yyyy")&amp;" – "&amp;TEXT(H94,"dd mmm yyyy")</x:f>
        <x:v>28 Feb 2025 – 27 Feb 2027</x:v>
      </x:c>
      <x:c r="J94" s="7" t="str">
        <x:f>IF(H94&lt;TODAY(),"Expired","Active")</x:f>
        <x:v>Active</x:v>
      </x:c>
      <x:c r="K94" s="15" t="str">
        <x:v>https://drive.google.com/file/d/1tQyCuTYw81RAJbJ6y0XqMIp9fOC7YaWy/view?usp=drive_link</x:v>
      </x:c>
    </x:row>
    <x:row r="95" ht="42" customHeight="1">
      <x:c r="A95" s="9" t="str">
        <x:v>MOU-2025-051</x:v>
      </x:c>
      <x:c r="B95" s="9" t="str">
        <x:v>MoU_Charles Sturt University_Australia_2025</x:v>
      </x:c>
      <x:c r="C95" s="7" t="n">
        <x:v>51</x:v>
      </x:c>
      <x:c r="D95" s="13" t="str">
        <x:v>Charles Sturt University</x:v>
      </x:c>
      <x:c r="E95" s="13" t="str">
        <x:v>Australia</x:v>
      </x:c>
      <x:c r="F95" s="13" t="str">
        <x:v>(i) the development of collaborative research projects and programs;
(ii) the organisation of joint academic and scientific activities, such as courses, conferences, seminars, symposia or lectures;
(iii) the promotion of artistic and cultural activities;
(iv) the exchange of research and teaching staff;
(v) the articulation of students to the respective educational programs of the parties by students of the other party;
(vi) the recognition of advance standing for entry to the respective programs of the parties by students of the other party;
(vii) the development of staff development programs;
(viii) learning abroad opportunities; 
(ix) the exchange of publications and other materials of common interest;
(x) the demonstration of community leadership in matters relating to environmental and social responsibility;
(xi) programs to improve awareness of international developments in higher education; and
(xii) such other areas of cooperation as may be agreed between the parties.</x:v>
      </x:c>
      <x:c r="G95" s="11" t="n">
        <x:v>45689.5</x:v>
      </x:c>
      <x:c r="H95" s="11" t="n">
        <x:v>47514.5</x:v>
      </x:c>
      <x:c r="I95" s="7" t="str">
        <x:f>TEXT(G95,"dd mmm yyyy")&amp;" – "&amp;TEXT(H95,"dd mmm yyyy")</x:f>
        <x:v>01 Feb 2025 – 31 Jan 2030</x:v>
      </x:c>
      <x:c r="J95" s="7" t="str">
        <x:f>IF(H95&lt;TODAY(),"Expired","Active")</x:f>
        <x:v>Active</x:v>
      </x:c>
      <x:c r="K95" s="15" t="str">
        <x:v>https://drive.google.com/file/d/1qr-jMwkvNpBJ_SMUxx1L_-E-_Q4xdpYv/view?usp=drive_link</x:v>
      </x:c>
    </x:row>
    <x:row r="96" ht="42" customHeight="1">
      <x:c r="A96" s="9" t="str">
        <x:v>MOU-2025-052</x:v>
      </x:c>
      <x:c r="B96" s="9" t="str">
        <x:v>MoU_Czech Technical University in Prague_Czech Republic_2025</x:v>
      </x:c>
      <x:c r="C96" s="7" t="n">
        <x:v>52</x:v>
      </x:c>
      <x:c r="D96" s="13" t="str">
        <x:v>Czech Technical University in Prague</x:v>
      </x:c>
      <x:c r="E96" s="13" t="str">
        <x:v>Czech Republic</x:v>
      </x:c>
      <x:c r="F96" s="13" t="str">
        <x:v>1) Exchange of Academics, Research Personnel and Administrative Personnel
2) Exchange of Students
3) Exploration of Teaching Collaboration
4) Scientific Research Collaboration
5) Sharing of Joint Research Results
6) Exchange of Institutional Publications</x:v>
      </x:c>
      <x:c r="G96" s="11" t="n">
        <x:v>45688.5</x:v>
      </x:c>
      <x:c r="H96" s="11" t="n">
        <x:v>47513.5</x:v>
      </x:c>
      <x:c r="I96" s="7" t="str">
        <x:f>TEXT(G96,"dd mmm yyyy")&amp;" – "&amp;TEXT(H96,"dd mmm yyyy")</x:f>
        <x:v>31 Jan 2025 – 30 Jan 2030</x:v>
      </x:c>
      <x:c r="J96" s="7" t="str">
        <x:f>IF(H96&lt;TODAY(),"Expired","Active")</x:f>
        <x:v>Active</x:v>
      </x:c>
      <x:c r="K96" s="15" t="str">
        <x:v>https://drive.google.com/file/d/1herRIibYD5cGFZy9KizOdds5FQe3Msp0/view?usp=drive_link</x:v>
      </x:c>
    </x:row>
    <x:row r="97" ht="42" customHeight="1">
      <x:c r="A97" s="9" t="str">
        <x:v>MOU-2025-053</x:v>
      </x:c>
      <x:c r="B97" s="9" t="str">
        <x:v>MoU_Enforcement, Leadership and Management University_Malaysia_2025</x:v>
      </x:c>
      <x:c r="C97" s="7" t="n">
        <x:v>53</x:v>
      </x:c>
      <x:c r="D97" s="13" t="str">
        <x:v>Enforcement, Leadership and Management University</x:v>
      </x:c>
      <x:c r="E97" s="13" t="str">
        <x:v>Malaysia</x:v>
      </x:c>
      <x:c r="F97" s="13" t="str">
        <x:v>1) Attachment of students, industrial training, executive development, human capital management and leadership programs;
2) Sharing expertise in teaching, learning, research and training between UB and ELMU.
3) To explore the collaboration in academic areas of micro-credential, undergraduate and postgraduate programs;
4) Sharing facilities for teaching, learning and research subject to prior written approval from the higher management of UB and ELMU.
5) Invitation to participate in symposium, conference, workshop and seminar conducted by UB and ELMU.
6) Collaboration in conducting joint research between the Parties;
7) Sharing of data from the research conducted by the Parties to be analysed together.
8) Collaboration in writing the research outcome for publication in high-impact journals;
9) Exchange of research outcomes and other academic information;
10) Collaboration in academic publication
11) To determine the suitable and relevant community service programs to be conducted by the Parties;
12) Other academic and educational exchange programs approved as suitable by both Parties; and
13) Any other areas of co-operation to be mutually agreed upon by the parties (if any).</x:v>
      </x:c>
      <x:c r="G97" s="11" t="n">
        <x:v>45680.5</x:v>
      </x:c>
      <x:c r="H97" s="11" t="n">
        <x:v>46774.5</x:v>
      </x:c>
      <x:c r="I97" s="7" t="str">
        <x:f>TEXT(G97,"dd mmm yyyy")&amp;" – "&amp;TEXT(H97,"dd mmm yyyy")</x:f>
        <x:v>23 Jan 2025 – 22 Jan 2028</x:v>
      </x:c>
      <x:c r="J97" s="7" t="str">
        <x:f>IF(H97&lt;TODAY(),"Expired","Active")</x:f>
        <x:v>Active</x:v>
      </x:c>
      <x:c r="K97" s="15" t="str">
        <x:v>https://drive.google.com/file/d/1dPs5vJeUwsZdRHwv4tF7BhHo7_R32u6h/view?usp=drive_link</x:v>
      </x:c>
    </x:row>
    <x:row r="98" ht="42" customHeight="1">
      <x:c r="A98" s="9" t="str">
        <x:v>MOU-2025-054</x:v>
      </x:c>
      <x:c r="B98" s="9" t="str">
        <x:v>MoU_Institut National Polytechnique de Toulouse (INP)_France_2025</x:v>
      </x:c>
      <x:c r="C98" s="7" t="n">
        <x:v>54</x:v>
      </x:c>
      <x:c r="D98" s="13" t="str">
        <x:v>Institut National Polytechnique de Toulouse (INP)</x:v>
      </x:c>
      <x:c r="E98" s="13" t="str">
        <x:v>France</x:v>
      </x:c>
      <x:c r="F98" s="13" t="str">
        <x:v>1) Exchange of academic and administrative staff
2) Exchange of students
3) Joint supervision of doctoral studies
4) Conducting collaborative research projects
5) Conducting lectures and organising symposia
6) Exchange of academic information and materials
7) Promoting academic collaboration in fields of mutual interest</x:v>
      </x:c>
      <x:c r="G98" s="11" t="n">
        <x:v>45673.5</x:v>
      </x:c>
      <x:c r="H98" s="11" t="n">
        <x:v>47498.5</x:v>
      </x:c>
      <x:c r="I98" s="7" t="str">
        <x:f>TEXT(G98,"dd mmm yyyy")&amp;" – "&amp;TEXT(H98,"dd mmm yyyy")</x:f>
        <x:v>16 Jan 2025 – 15 Jan 2030</x:v>
      </x:c>
      <x:c r="J98" s="7" t="str">
        <x:f>IF(H98&lt;TODAY(),"Expired","Active")</x:f>
        <x:v>Active</x:v>
      </x:c>
      <x:c r="K98" s="15" t="str">
        <x:v>https://drive.google.com/file/d/13TESDaHhQH-Sfm0ChmH-l8kHAtwerO1C/view?usp=drive_link</x:v>
      </x:c>
    </x:row>
    <x:row r="99" ht="42" customHeight="1">
      <x:c r="A99" s="9" t="str">
        <x:v>MOU-2024-001</x:v>
      </x:c>
      <x:c r="B99" s="9" t="str">
        <x:v>MoU_Guangdong University of Foreign Studies_China_2024</x:v>
      </x:c>
      <x:c r="C99" s="7" t="n">
        <x:v>1</x:v>
      </x:c>
      <x:c r="D99" s="13" t="str">
        <x:v>Guangdong University of Foreign Studies</x:v>
      </x:c>
      <x:c r="E99" s="13" t="str">
        <x:v>China</x:v>
      </x:c>
      <x:c r="F99" s="13" t="str">
        <x:v>1) Exchange of faculty and/or staff;
2) Exchange of graduate and/or undergraduate student;
3) Exchange ofscientific material, publication, and information;
4) Exchange of cultural activity;
5) Joint conferences and academic program;
6) Joint research activity and publication;
7) Joint student programs (including joint degree/ nondegree programs)</x:v>
      </x:c>
      <x:c r="G99" s="11" t="n">
        <x:v>45645.5</x:v>
      </x:c>
      <x:c r="H99" s="11" t="n">
        <x:v>47470.5</x:v>
      </x:c>
      <x:c r="I99" s="7" t="str">
        <x:f>TEXT(G99,"dd mmm yyyy")&amp;" – "&amp;TEXT(H99,"dd mmm yyyy")</x:f>
        <x:v>19 Dec 2024 – 18 Dec 2029</x:v>
      </x:c>
      <x:c r="J99" s="7" t="str">
        <x:f>IF(H99&lt;TODAY(),"Expired","Active")</x:f>
        <x:v>Active</x:v>
      </x:c>
      <x:c r="K99" s="15" t="str">
        <x:v>https://drive.google.com/file/d/1bNuR54z5pV14Pl_YOKtxeTBH3u_ZEj4G/view?usp=sharing</x:v>
      </x:c>
    </x:row>
    <x:row r="100" ht="42" customHeight="1">
      <x:c r="A100" s="9" t="str">
        <x:v>MOU-2024-002</x:v>
      </x:c>
      <x:c r="B100" s="9" t="str">
        <x:v>MoU_Ritsumeikan University_Japan_2024</x:v>
      </x:c>
      <x:c r="C100" s="7" t="n">
        <x:v>2</x:v>
      </x:c>
      <x:c r="D100" s="13" t="str">
        <x:v>Ritsumeikan University</x:v>
      </x:c>
      <x:c r="E100" s="13" t="str">
        <x:v>Japan</x:v>
      </x:c>
      <x:c r="F100" s="13" t="str">
        <x:v>Graduate Student Exchange</x:v>
      </x:c>
      <x:c r="G100" s="11" t="n">
        <x:v>45636.5</x:v>
      </x:c>
      <x:c r="H100" s="11" t="n">
        <x:v>49287.5</x:v>
      </x:c>
      <x:c r="I100" s="7" t="str">
        <x:f>TEXT(G100,"dd mmm yyyy")&amp;" – "&amp;TEXT(H100,"dd mmm yyyy")</x:f>
        <x:v>10 Dec 2024 – 09 Dec 2034</x:v>
      </x:c>
      <x:c r="J100" s="7" t="str">
        <x:f>IF(H100&lt;TODAY(),"Expired","Active")</x:f>
        <x:v>Active</x:v>
      </x:c>
      <x:c r="K100" s="15" t="str">
        <x:v>https://drive.google.com/file/d/127EfcWsPDxPH-8FLp34zgqw9hfrCRRAB/view?usp=drive_link</x:v>
      </x:c>
    </x:row>
    <x:row r="101" ht="42" customHeight="1">
      <x:c r="A101" s="9" t="str">
        <x:v>MOU-2024-003</x:v>
      </x:c>
      <x:c r="B101" s="9" t="str">
        <x:v>MoU_Ghent University Global Campus_South Korea_2024</x:v>
      </x:c>
      <x:c r="C101" s="7" t="n">
        <x:v>3</x:v>
      </x:c>
      <x:c r="D101" s="13" t="str">
        <x:v>Ghent University Global Campus</x:v>
      </x:c>
      <x:c r="E101" s="13" t="str">
        <x:v>South Korea</x:v>
      </x:c>
      <x:c r="F101"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101" s="11" t="n">
        <x:v>45624.5</x:v>
      </x:c>
      <x:c r="H101" s="11" t="n">
        <x:v>47449.5</x:v>
      </x:c>
      <x:c r="I101" s="7" t="str">
        <x:f>TEXT(G101,"dd mmm yyyy")&amp;" – "&amp;TEXT(H101,"dd mmm yyyy")</x:f>
        <x:v>28 Nov 2024 – 27 Nov 2029</x:v>
      </x:c>
      <x:c r="J101" s="7" t="str">
        <x:f>IF(H101&lt;TODAY(),"Expired","Active")</x:f>
        <x:v>Active</x:v>
      </x:c>
      <x:c r="K101" s="15" t="str">
        <x:v>https://drive.google.com/file/d/1tG8eq0cE4XyWBUMxOxwcO0nkn7-BUbpO/view?usp=drive_link</x:v>
      </x:c>
    </x:row>
    <x:row r="102" ht="42" customHeight="1">
      <x:c r="A102" s="9" t="str">
        <x:v>MOU-2024-004</x:v>
      </x:c>
      <x:c r="B102" s="9" t="str">
        <x:v>MoU_Universiti Kebangsaan Malaysia_Malaysia_2024</x:v>
      </x:c>
      <x:c r="C102" s="7" t="n">
        <x:v>4</x:v>
      </x:c>
      <x:c r="D102" s="13" t="str">
        <x:v>Universiti Kebangsaan Malaysia</x:v>
      </x:c>
      <x:c r="E102" s="13" t="str">
        <x:v>Malaysia</x:v>
      </x:c>
      <x:c r="F102" s="13" t="str">
        <x:v>1) Joint research activities and academic programs;
2) Implementation of mobility program/exchange/attachment for students and/or academic members;
3) Publication of books and journals;
4) Conducting physical and/or virtual teaching activities;
5) Jointly supervise student;
6) Exchange of information on best practices, knowledge and expertise; and
7) Other areas of mutual interest in which both parties have mutually agreed from time to time</x:v>
      </x:c>
      <x:c r="G102" s="11" t="n">
        <x:v>45611.5</x:v>
      </x:c>
      <x:c r="H102" s="11" t="n">
        <x:v>47436.5</x:v>
      </x:c>
      <x:c r="I102" s="7" t="str">
        <x:f>TEXT(G102,"dd mmm yyyy")&amp;" – "&amp;TEXT(H102,"dd mmm yyyy")</x:f>
        <x:v>15 Nov 2024 – 14 Nov 2029</x:v>
      </x:c>
      <x:c r="J102" s="7" t="str">
        <x:f>IF(H102&lt;TODAY(),"Expired","Active")</x:f>
        <x:v>Active</x:v>
      </x:c>
      <x:c r="K102" s="15" t="str">
        <x:v>https://drive.google.com/file/d/1gS4mbBwvz0hwH-200VczT5vfYezGb8P7/view?usp=drive_link</x:v>
      </x:c>
    </x:row>
    <x:row r="103" ht="42" customHeight="1">
      <x:c r="A103" s="9" t="str">
        <x:v>MOU-2024-005</x:v>
      </x:c>
      <x:c r="B103" s="9" t="str">
        <x:v>MoU_Universiti Malaya_Malaysia_2024</x:v>
      </x:c>
      <x:c r="C103" s="7" t="n">
        <x:v>5</x:v>
      </x:c>
      <x:c r="D103" s="13" t="str">
        <x:v>Universiti Malaya</x:v>
      </x:c>
      <x:c r="E103" s="13" t="str">
        <x:v>Malaysia</x:v>
      </x:c>
      <x:c r="F103" s="13" t="str">
        <x:v>a) Exchange of faculty members and students;
b) Exchange of academic lilerature and intormation;
c) Collaborative research;
d) Post-Doctoral program;
e) Collaborative community service:
f) Doctoral program;
g) Joint lectures
h) Joint supervision and examination
i) Any other activities to be decided on the basis of mutual agreement by both universities</x:v>
      </x:c>
      <x:c r="G103" s="11" t="n">
        <x:v>45609.5</x:v>
      </x:c>
      <x:c r="H103" s="11" t="n">
        <x:v>46703.5</x:v>
      </x:c>
      <x:c r="I103" s="7" t="str">
        <x:f>TEXT(G103,"dd mmm yyyy")&amp;" – "&amp;TEXT(H103,"dd mmm yyyy")</x:f>
        <x:v>13 Nov 2024 – 12 Nov 2027</x:v>
      </x:c>
      <x:c r="J103" s="7" t="str">
        <x:f>IF(H103&lt;TODAY(),"Expired","Active")</x:f>
        <x:v>Active</x:v>
      </x:c>
      <x:c r="K103" s="15" t="str">
        <x:v>https://drive.google.com/file/d/19WOin6zhyiZ09z9LeTDl8iHxGyEoZsbI/view?usp=drive_link</x:v>
      </x:c>
    </x:row>
    <x:row r="104" ht="42" customHeight="1">
      <x:c r="A104" s="9" t="str">
        <x:v>MOU-2024-006</x:v>
      </x:c>
      <x:c r="B104" s="9" t="str">
        <x:v>MoU_University of New England (UNE)_Australia_2024</x:v>
      </x:c>
      <x:c r="C104" s="7" t="n">
        <x:v>6</x:v>
      </x:c>
      <x:c r="D104" s="13" t="str">
        <x:v>University of New England (UNE)</x:v>
      </x:c>
      <x:c r="E104" s="13" t="str">
        <x:v>Australia</x:v>
      </x:c>
      <x:c r="F104" s="13" t="str">
        <x:v>1) Exchange of students and faculty members between Universities; and 
2) Develop research collaboration and community services in the areas of mutual interest to UNE and UB.</x:v>
      </x:c>
      <x:c r="G104" s="11" t="n">
        <x:v>45609.5</x:v>
      </x:c>
      <x:c r="H104" s="11" t="n">
        <x:v>46703.5</x:v>
      </x:c>
      <x:c r="I104" s="7" t="str">
        <x:f>TEXT(G104,"dd mmm yyyy")&amp;" – "&amp;TEXT(H104,"dd mmm yyyy")</x:f>
        <x:v>13 Nov 2024 – 12 Nov 2027</x:v>
      </x:c>
      <x:c r="J104" s="7" t="str">
        <x:f>IF(H104&lt;TODAY(),"Expired","Active")</x:f>
        <x:v>Active</x:v>
      </x:c>
      <x:c r="K104" s="15" t="str">
        <x:v>https://drive.google.com/file/d/1z3sDWyTIIeNtEfAUHupbHjCyI3xZGqF2/view?usp=drive_link</x:v>
      </x:c>
    </x:row>
    <x:row r="105" ht="42" customHeight="1">
      <x:c r="A105" s="9" t="str">
        <x:v>MOU-2024-007</x:v>
      </x:c>
      <x:c r="B105" s="9" t="str">
        <x:v>MoU_Universiti Malaysia Terengganu_Malaysia_2024</x:v>
      </x:c>
      <x:c r="C105" s="7" t="n">
        <x:v>8</x:v>
      </x:c>
      <x:c r="D105" s="13" t="str">
        <x:v>Universiti Malaysia Terengganu</x:v>
      </x:c>
      <x:c r="E105" s="13" t="str">
        <x:v>Malaysia</x:v>
      </x:c>
      <x:c r="F105" s="13" t="str">
        <x:v>a) collaboration in research and development projects in the areas of mutual interests,
b) joint application of local and international grant for research and development projects;
c) exchange of information, knowledge and expertise;
d) exchange of staff and students for attachment or mobility program;
e) joint organization of seminars, trainings or courses for capacity building and development;
f) joint publication for academic and research purposes; and
g) Any other areas of co-operation and collaboration to be mutually agreed upon by the parties.</x:v>
      </x:c>
      <x:c r="G105" s="11" t="n">
        <x:v>45588.5</x:v>
      </x:c>
      <x:c r="H105" s="11" t="n">
        <x:v>46698.5</x:v>
      </x:c>
      <x:c r="I105" s="7" t="str">
        <x:f>TEXT(G105,"dd mmm yyyy")&amp;" – "&amp;TEXT(H105,"dd mmm yyyy")</x:f>
        <x:v>23 Oct 2024 – 07 Nov 2027</x:v>
      </x:c>
      <x:c r="J105" s="7" t="str">
        <x:f>IF(H105&lt;TODAY(),"Expired","Active")</x:f>
        <x:v>Active</x:v>
      </x:c>
      <x:c r="K105" s="15" t="str">
        <x:v>https://drive.google.com/file/d/1HtMF4LuvzN0rx_tkiyIr4In9jweaNG7m/view?usp=drive_link</x:v>
      </x:c>
    </x:row>
    <x:row r="106" ht="42" customHeight="1">
      <x:c r="A106" s="9" t="str">
        <x:v>MOU-2024-008</x:v>
      </x:c>
      <x:c r="B106" s="9" t="str">
        <x:v>MoU_Dr. Emilio B. Espinosa Sr. Memorial State College of Agriculture and Technology_Philippines_2024</x:v>
      </x:c>
      <x:c r="C106" s="7" t="n">
        <x:v>9</x:v>
      </x:c>
      <x:c r="D106" s="13" t="str">
        <x:v>Dr. Emilio B. Espinosa Sr. Memorial State College of Agriculture and Technology</x:v>
      </x:c>
      <x:c r="E106" s="13" t="str">
        <x:v>Philippines</x:v>
      </x:c>
      <x:c r="F106" s="13" t="str">
        <x:v>1) Exchange of faculty and/or slaff;
2) Exchange of graduate and/or undergraduate student;
3) Exchange of scientific material, publication, and information
4) Exchange of cultural activity;
5) Joint conferences and academic program; and/or
6) Joint research activity and publication.</x:v>
      </x:c>
      <x:c r="G106" s="11" t="n">
        <x:v>45576.5</x:v>
      </x:c>
      <x:c r="H106" s="11" t="n">
        <x:v>47401.5</x:v>
      </x:c>
      <x:c r="I106" s="7" t="str">
        <x:f>TEXT(G106,"dd mmm yyyy")&amp;" – "&amp;TEXT(H106,"dd mmm yyyy")</x:f>
        <x:v>11 Oct 2024 – 10 Oct 2029</x:v>
      </x:c>
      <x:c r="J106" s="7" t="str">
        <x:f>IF(H106&lt;TODAY(),"Expired","Active")</x:f>
        <x:v>Active</x:v>
      </x:c>
      <x:c r="K106" s="15" t="str">
        <x:v>https://drive.google.com/file/d/1k7cf3rMtesu39geWWPa_idcu3PWGA4uj/view?usp=drive_link</x:v>
      </x:c>
    </x:row>
    <x:row r="107" ht="42" customHeight="1">
      <x:c r="A107" s="9" t="str">
        <x:v>MOU-2024-009</x:v>
      </x:c>
      <x:c r="B107" s="9" t="str">
        <x:v>MoU_Our Lady of the Sacred Heart School_Philippines_2024</x:v>
      </x:c>
      <x:c r="C107" s="7" t="n">
        <x:v>10</x:v>
      </x:c>
      <x:c r="D107" s="13" t="str">
        <x:v>Our Lady of the Sacred Heart School</x:v>
      </x:c>
      <x:c r="E107" s="13" t="str">
        <x:v>Philippines</x:v>
      </x:c>
      <x:c r="F107" s="13" t="str">
        <x:v>1) Exchange of faculty and/or staff;
2) Exchange ot student;
3) Exchange of scientific material, publicalion, and information;
4) Exchange of cultural aclivity;
5) Joint conferences and academic program; and/or
6) Joint research activity and publication;</x:v>
      </x:c>
      <x:c r="G107" s="11" t="n">
        <x:v>45576.5</x:v>
      </x:c>
      <x:c r="H107" s="11" t="n">
        <x:v>47401.5</x:v>
      </x:c>
      <x:c r="I107" s="7" t="str">
        <x:f>TEXT(G107,"dd mmm yyyy")&amp;" – "&amp;TEXT(H107,"dd mmm yyyy")</x:f>
        <x:v>11 Oct 2024 – 10 Oct 2029</x:v>
      </x:c>
      <x:c r="J107" s="7" t="str">
        <x:f>IF(H107&lt;TODAY(),"Expired","Active")</x:f>
        <x:v>Active</x:v>
      </x:c>
      <x:c r="K107" s="15" t="str">
        <x:v>https://drive.google.com/file/d/1ThFxsR6lKucrTCIsdOFfVNkUybzVengn/view?usp=drive_link</x:v>
      </x:c>
    </x:row>
    <x:row r="108" ht="42" customHeight="1">
      <x:c r="A108" s="9" t="str">
        <x:v>MOU-2024-010</x:v>
      </x:c>
      <x:c r="B108" s="9" t="str">
        <x:v>MoU_Noble Solutions_Ireland_2024</x:v>
      </x:c>
      <x:c r="C108" s="7" t="n">
        <x:v>7</x:v>
      </x:c>
      <x:c r="D108" s="13" t="str">
        <x:v>Noble Solutions</x:v>
      </x:c>
      <x:c r="E108" s="13" t="str">
        <x:v>Ireland</x:v>
      </x:c>
      <x:c r="F108" s="13" t="str">
        <x:v>1) Staff / Student Mobility Programmes for study programs managed by Party 2.
2) Assistance to identify profs / practitioners for various program seminars.
3) Potential establishment of dual/double degree programs between Universitas Brawijaya and Noble Solutions' strategic partners.
4) lreland / UK focused presentations for IISMA Awardees.
5) LPDP and self-funded Joint / Double Degrees.</x:v>
      </x:c>
      <x:c r="G108" s="11" t="n">
        <x:v>45569.5</x:v>
      </x:c>
      <x:c r="H108" s="11" t="n">
        <x:v>47394.5</x:v>
      </x:c>
      <x:c r="I108" s="7" t="str">
        <x:f>TEXT(G108,"dd mmm yyyy")&amp;" – "&amp;TEXT(H108,"dd mmm yyyy")</x:f>
        <x:v>04 Oct 2024 – 03 Oct 2029</x:v>
      </x:c>
      <x:c r="J108" s="7" t="str">
        <x:f>IF(H108&lt;TODAY(),"Expired","Active")</x:f>
        <x:v>Active</x:v>
      </x:c>
      <x:c r="K108" s="15" t="str">
        <x:v>https://drive.google.com/file/d/1ZUXmuk0Oi76_wpoUgMUH4oFk18me4OgC/view?usp=drive_link</x:v>
      </x:c>
    </x:row>
    <x:row r="109" ht="42" customHeight="1">
      <x:c r="A109" s="9" t="str">
        <x:v>MOU-2024-011</x:v>
      </x:c>
      <x:c r="B109" s="9" t="str">
        <x:v>MoU_University of The Philippines Los Banos_Philippines_2024</x:v>
      </x:c>
      <x:c r="C109" s="7" t="n">
        <x:v>11</x:v>
      </x:c>
      <x:c r="D109" s="13" t="str">
        <x:v>University of The Philippines Los Banos</x:v>
      </x:c>
      <x:c r="E109" s="13" t="str">
        <x:v>Philippines</x:v>
      </x:c>
      <x:c r="F109" s="13" t="str">
        <x:v>a) Exchange of faculty and researchers
b) Exchange of students
c) Conduct of collaborative research projects;
d) Conduct of lectures and symposia;
e) Exchange of academic information and materials; and
i) Promote other academic cooperation as mutually agreed</x:v>
      </x:c>
      <x:c r="G109" s="11" t="n">
        <x:v>45568.5</x:v>
      </x:c>
      <x:c r="H109" s="11" t="n">
        <x:v>46662.5</x:v>
      </x:c>
      <x:c r="I109" s="7" t="str">
        <x:f>TEXT(G109,"dd mmm yyyy")&amp;" – "&amp;TEXT(H109,"dd mmm yyyy")</x:f>
        <x:v>03 Oct 2024 – 02 Oct 2027</x:v>
      </x:c>
      <x:c r="J109" s="7" t="str">
        <x:f>IF(H109&lt;TODAY(),"Expired","Active")</x:f>
        <x:v>Active</x:v>
      </x:c>
      <x:c r="K109" s="15" t="str">
        <x:v>https://drive.google.com/file/d/1SspftP8esCJ1-wZ6GYxQCQVe-7v3UQK9/view?usp=drive_link</x:v>
      </x:c>
    </x:row>
    <x:row r="110" ht="42" customHeight="1">
      <x:c r="A110" s="9" t="str">
        <x:v>MOU-2024-012</x:v>
      </x:c>
      <x:c r="B110" s="9" t="str">
        <x:v>MoU_Nueva Ecija University of Science and Technology (NEUST)_Philippines_2024</x:v>
      </x:c>
      <x:c r="C110" s="7" t="n">
        <x:v>12</x:v>
      </x:c>
      <x:c r="D110" s="13" t="str">
        <x:v>Nueva Ecija University of Science and Technology (NEUST)</x:v>
      </x:c>
      <x:c r="E110" s="13" t="str">
        <x:v>Philippines</x:v>
      </x:c>
      <x:c r="F110" s="13" t="str">
        <x:v>a) Offer of new or existing academic courses and curriculum
b) Exchange of students and faculty members
c) Exchange of academic materials in the form of journals, reference materials, and the results of teaching and research
d) Joint research, research projects, and publications
e) Joint conferences, cultural exchange programs, and consultancy services
f) Study tours, summer schools, and work placements
g) Articulation and academic progression arrangements
h) Inter-institutional training, online teaching, and webinars
i) Joint programs at the undergraduate and postgraduate levels
j) Offer of Academic Courses and Training for continuing education
k) Setting up of industry-related centers
l) Other exchange and collaborative activities agreed upon by both institutions</x:v>
      </x:c>
      <x:c r="G110" s="11" t="n">
        <x:v>45560.5</x:v>
      </x:c>
      <x:c r="H110" s="11" t="n">
        <x:v>47385.5</x:v>
      </x:c>
      <x:c r="I110" s="7" t="str">
        <x:f>TEXT(G110,"dd mmm yyyy")&amp;" – "&amp;TEXT(H110,"dd mmm yyyy")</x:f>
        <x:v>25 Sep 2024 – 24 Sep 2029</x:v>
      </x:c>
      <x:c r="J110" s="7" t="str">
        <x:f>IF(H110&lt;TODAY(),"Expired","Active")</x:f>
        <x:v>Active</x:v>
      </x:c>
      <x:c r="K110" s="15" t="str">
        <x:v>https://drive.google.com/file/d/1QS-SfFlj7C2nCwsr7VgwLOn4vU_N5Cuc/view?usp=drive_link</x:v>
      </x:c>
    </x:row>
    <x:row r="111" ht="42" customHeight="1">
      <x:c r="A111" s="9" t="str">
        <x:v>MOU-2024-013</x:v>
      </x:c>
      <x:c r="B111" s="9" t="str">
        <x:v>MoU_Universiti Teknologi Petronas_Malaysia_2024</x:v>
      </x:c>
      <x:c r="C111" s="7" t="n">
        <x:v>13</x:v>
      </x:c>
      <x:c r="D111" s="13" t="str">
        <x:v>Universiti Teknologi Petronas</x:v>
      </x:c>
      <x:c r="E111" s="13" t="str">
        <x:v>Malaysia</x:v>
      </x:c>
      <x:c r="F111" s="13" t="str">
        <x:v>(a) Academic
1) Joint organization of seminars, symposium, conferences and public lectures
2) Visiting Professor as part of the initiative on sharing of knowledge and expertise
3) Conducting and delivering short courses
(b) Research
1) Joint Research and Development activities which may include sharing of facilities and equipment, and joint application of research grants
2) Joint Supervision for postgraduate students
3) Joint Publications of research outcomes, exchange of publicalions, academic materials and other information
(c) Student Experience and Development 
1) Student Mobility Programme (including exchange, research attachment, summer and cultural programme)
2) Student lnternship Programme
3) Joint organization of student activities and programme
(d) Any other acliviiies lhat the Parties deem mutually beneficial</x:v>
      </x:c>
      <x:c r="G111" s="11" t="n">
        <x:v>45555.5</x:v>
      </x:c>
      <x:c r="H111" s="11" t="n">
        <x:v>47380.5</x:v>
      </x:c>
      <x:c r="I111" s="7" t="str">
        <x:f>TEXT(G111,"dd mmm yyyy")&amp;" – "&amp;TEXT(H111,"dd mmm yyyy")</x:f>
        <x:v>20 Sep 2024 – 19 Sep 2029</x:v>
      </x:c>
      <x:c r="J111" s="7" t="str">
        <x:f>IF(H111&lt;TODAY(),"Expired","Active")</x:f>
        <x:v>Active</x:v>
      </x:c>
      <x:c r="K111" s="15" t="str">
        <x:v>https://drive.google.com/file/d/1kVOMjcern8ehqEjMcu9Mv3H_oAic_HPa/view?usp=drive_link</x:v>
      </x:c>
    </x:row>
    <x:row r="112" ht="42" customHeight="1">
      <x:c r="A112" s="9" t="str">
        <x:v>MOU-2024-014</x:v>
      </x:c>
      <x:c r="B112" s="9" t="str">
        <x:v>MoU_University of Adelaide_Australia_2024</x:v>
      </x:c>
      <x:c r="C112" s="7" t="n">
        <x:v>15</x:v>
      </x:c>
      <x:c r="D112" s="13" t="str">
        <x:v>University of Adelaide</x:v>
      </x:c>
      <x:c r="E112" s="13" t="str">
        <x:v>Australia</x:v>
      </x:c>
      <x:c r="F112" s="13" t="str">
        <x:v>1) Exchanges of students and academic staff; 
2) Exchange of publications, academic materials and other information;
3) Collaborative degree programs at the undergraduale and postgraduate levels;
4) Joint research activities, including projects, seminars, conferences and public lectures;
5) Joint research funding applicatlons;
6) Access for PhD and Masters students enrolled at a university and staff members to tho facilities of each party required to conduct the project;
7) Participation in PhD and Masters by Research programs by stafF of either party;
8) Joint quality assurance and benchmarking;
9) Such other projects for mutual benefit that are agreed upon by both Parties.</x:v>
      </x:c>
      <x:c r="G112" s="11" t="n">
        <x:v>45553.5</x:v>
      </x:c>
      <x:c r="H112" s="11" t="n">
        <x:v>47378.5</x:v>
      </x:c>
      <x:c r="I112" s="7" t="str">
        <x:f>TEXT(G112,"dd mmm yyyy")&amp;" – "&amp;TEXT(H112,"dd mmm yyyy")</x:f>
        <x:v>18 Sep 2024 – 17 Sep 2029</x:v>
      </x:c>
      <x:c r="J112" s="7" t="str">
        <x:f>IF(H112&lt;TODAY(),"Expired","Active")</x:f>
        <x:v>Active</x:v>
      </x:c>
      <x:c r="K112" s="15" t="str">
        <x:v>https://drive.google.com/file/d/12XJuv3jwg3xdx_lHNMmiarFELg4t83ty/view?usp=drive_link</x:v>
      </x:c>
    </x:row>
    <x:row r="113" ht="42" customHeight="1">
      <x:c r="A113" s="9" t="str">
        <x:v>MOU-2024-015</x:v>
      </x:c>
      <x:c r="B113" s="9" t="str">
        <x:v>MoU_University of Florida Board of Trustees_United States of America_2024</x:v>
      </x:c>
      <x:c r="C113" s="7" t="n">
        <x:v>14</x:v>
      </x:c>
      <x:c r="D113" s="13" t="str">
        <x:v>University of Florida Board of Trustees</x:v>
      </x:c>
      <x:c r="E113" s="13" t="str">
        <x:v>United States of America</x:v>
      </x:c>
      <x:c r="F113" s="13" t="str">
        <x:v>l) Potential engagement in future collaborative research, subject to the requirements of Article 8.8;
2) Opportunities for faculty &amp; student development and exchange, subject to the acceptance procedures and policies of each institution;
3) Exchange of academic publications and reports;
4) Sharing of experiences in innovative teaching methods and course design &amp; research facilities, subject to the acceptance procedures and policies of each institution;
5) Joint provision of expertise in terms of technical assistance, international conferences, and workshops.</x:v>
      </x:c>
      <x:c r="G113" s="11" t="n">
        <x:v>45553.5</x:v>
      </x:c>
      <x:c r="H113" s="11" t="n">
        <x:v>46647.5</x:v>
      </x:c>
      <x:c r="I113" s="7" t="str">
        <x:f>TEXT(G113,"dd mmm yyyy")&amp;" – "&amp;TEXT(H113,"dd mmm yyyy")</x:f>
        <x:v>18 Sep 2024 – 17 Sep 2027</x:v>
      </x:c>
      <x:c r="J113" s="7" t="str">
        <x:f>IF(H113&lt;TODAY(),"Expired","Active")</x:f>
        <x:v>Active</x:v>
      </x:c>
      <x:c r="K113" s="15" t="str">
        <x:v>https://drive.google.com/file/d/1hR7tCteAlHogBseISzRn7OJKh_ez1iZi/view?usp=drive_link</x:v>
      </x:c>
    </x:row>
    <x:row r="114" ht="42" customHeight="1">
      <x:c r="A114" s="9" t="str">
        <x:v>MOU-2024-016</x:v>
      </x:c>
      <x:c r="B114" s="9" t="str">
        <x:v>MoU_Universitas Negeri Jakarta and Universitat Leipzig_Germany_2024</x:v>
      </x:c>
      <x:c r="C114" s="7" t="n">
        <x:v>16</x:v>
      </x:c>
      <x:c r="D114" s="13" t="str">
        <x:v>Universitas Negeri Jakarta and Universitat Leipzig</x:v>
      </x:c>
      <x:c r="E114" s="13" t="str">
        <x:v>Germany</x:v>
      </x:c>
      <x:c r="F114" s="13" t="str">
        <x:v>1) Exchange of faculty and/or staff
2) Exchange of graduate and/or undergraduate student
3) Exchange of scientific material, publication, and information
4) Exchange of cultural activities
5) Joint conferences and academic program
6) Joint research activity and publication</x:v>
      </x:c>
      <x:c r="G114" s="11" t="n">
        <x:v>45552.5</x:v>
      </x:c>
      <x:c r="H114" s="11" t="n">
        <x:v>47377.5</x:v>
      </x:c>
      <x:c r="I114" s="7" t="str">
        <x:f>TEXT(G114,"dd mmm yyyy")&amp;" – "&amp;TEXT(H114,"dd mmm yyyy")</x:f>
        <x:v>17 Sep 2024 – 16 Sep 2029</x:v>
      </x:c>
      <x:c r="J114" s="7" t="str">
        <x:f>IF(H114&lt;TODAY(),"Expired","Active")</x:f>
        <x:v>Active</x:v>
      </x:c>
      <x:c r="K114" s="15" t="str">
        <x:v>https://drive.google.com/file/d/1MsrCBHMAJSj61UHZG1jRQwc-bSPlIttr/view?usp=drive_link</x:v>
      </x:c>
    </x:row>
    <x:row r="115" ht="42" customHeight="1">
      <x:c r="A115" s="9" t="str">
        <x:v>MOU-2024-017</x:v>
      </x:c>
      <x:c r="B115" s="9" t="str">
        <x:v>MoU_Hakim Sabzevari University_Iran_2024</x:v>
      </x:c>
      <x:c r="C115" s="7" t="n">
        <x:v>18</x:v>
      </x:c>
      <x:c r="D115" s="13" t="str">
        <x:v>Hakim Sabzevari University</x:v>
      </x:c>
      <x:c r="E115" s="13" t="str">
        <x:v>Iran</x:v>
      </x:c>
      <x:c r="F115" s="13" t="str">
        <x:v>1) To facilitate the exchange of academic members, researchers and experts for conducting research, teaching or exchange of ideas.
2) To provide opportunities for professors and researchers to participate in conferences, symposia and international meelings of both universities.
3) To provide necessary facilities to exchange professors to spend their sabbatical leaves in each other's universities.
4) To collaborate in holding joint scientific, research and technological exhibitions and conducting joint research projects.
5) To exchange students in the areas of mutual interest consistent with regulations of both countries.
6) To exchange information, books, scientific publications, scientific and research documents, students' theses, microfilms and computer softwares in the educational, research and technological areas.
7) To facilitate the visit ofacademic members, researchers, students of both universities.
8) To provide the facilities for participation ofstudents in sport competitions.
9) To support the establishment ofthe chair ofthe languages and literature in the universities of both countries.
l0) The Hakim Sabzevari University voice its readiness to admit the students of the Universitas Brawijaya in short-term Persian language programs.</x:v>
      </x:c>
      <x:c r="G115" s="11" t="n">
        <x:v>45538.5</x:v>
      </x:c>
      <x:c r="H115" s="11" t="n">
        <x:v>47363.5</x:v>
      </x:c>
      <x:c r="I115" s="7" t="str">
        <x:f>TEXT(G115,"dd mmm yyyy")&amp;" – "&amp;TEXT(H115,"dd mmm yyyy")</x:f>
        <x:v>03 Sep 2024 – 02 Sep 2029</x:v>
      </x:c>
      <x:c r="J115" s="7" t="str">
        <x:f>IF(H115&lt;TODAY(),"Expired","Active")</x:f>
        <x:v>Active</x:v>
      </x:c>
      <x:c r="K115" s="15" t="str">
        <x:v>https://drive.google.com/file/d/1sO3qcLRpU9TtNJSbPQ8nviRa_MH-WLuu/view?usp=drive_link</x:v>
      </x:c>
    </x:row>
    <x:row r="116" ht="42" customHeight="1">
      <x:c r="A116" s="9" t="str">
        <x:v>MOU-2024-018</x:v>
      </x:c>
      <x:c r="B116" s="9" t="str">
        <x:v>MoU_Islamic Azad University Karaj Branch_Iran_2024</x:v>
      </x:c>
      <x:c r="C116" s="7" t="n">
        <x:v>20</x:v>
      </x:c>
      <x:c r="D116" s="13" t="str">
        <x:v>Islamic Azad University Karaj Branch</x:v>
      </x:c>
      <x:c r="E116" s="13" t="str">
        <x:v>Iran</x:v>
      </x:c>
      <x:c r="F116"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116" s="11" t="n">
        <x:v>45538.5</x:v>
      </x:c>
      <x:c r="H116" s="11" t="n">
        <x:v>47363.5</x:v>
      </x:c>
      <x:c r="I116" s="7" t="str">
        <x:f>TEXT(G116,"dd mmm yyyy")&amp;" – "&amp;TEXT(H116,"dd mmm yyyy")</x:f>
        <x:v>03 Sep 2024 – 02 Sep 2029</x:v>
      </x:c>
      <x:c r="J116" s="7" t="str">
        <x:f>IF(H116&lt;TODAY(),"Expired","Active")</x:f>
        <x:v>Active</x:v>
      </x:c>
      <x:c r="K116" s="15" t="str">
        <x:v>https://drive.google.com/file/d/1JP8pMFXeXhKf7EEAp1imJv2saaiTKVgz/view?usp=drive_link</x:v>
      </x:c>
    </x:row>
    <x:row r="117" ht="42" customHeight="1">
      <x:c r="A117" s="9" t="str">
        <x:v>MOU-2024-019</x:v>
      </x:c>
      <x:c r="B117" s="9" t="str">
        <x:v>MoU_lslamic Azad University of lsfahan_Iran_2024</x:v>
      </x:c>
      <x:c r="C117" s="7" t="n">
        <x:v>19</x:v>
      </x:c>
      <x:c r="D117" s="13" t="str">
        <x:v>lslamic Azad University of lsfahan</x:v>
      </x:c>
      <x:c r="E117" s="13" t="str">
        <x:v>Iran</x:v>
      </x:c>
      <x:c r="F117"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117" s="11" t="n">
        <x:v>45538.5</x:v>
      </x:c>
      <x:c r="H117" s="11" t="n">
        <x:v>47363.5</x:v>
      </x:c>
      <x:c r="I117" s="7" t="str">
        <x:f>TEXT(G117,"dd mmm yyyy")&amp;" – "&amp;TEXT(H117,"dd mmm yyyy")</x:f>
        <x:v>03 Sep 2024 – 02 Sep 2029</x:v>
      </x:c>
      <x:c r="J117" s="7" t="str">
        <x:f>IF(H117&lt;TODAY(),"Expired","Active")</x:f>
        <x:v>Active</x:v>
      </x:c>
      <x:c r="K117" s="15" t="str">
        <x:v>https://drive.google.com/file/d/1e2xQ9i_OC1fpejMJvSalCxj7LdJlPWgS/view?usp=drive_link</x:v>
      </x:c>
    </x:row>
    <x:row r="118" ht="42" customHeight="1">
      <x:c r="A118" s="9" t="str">
        <x:v>MOU-2024-020</x:v>
      </x:c>
      <x:c r="B118" s="9" t="str">
        <x:v>MoU_University of Mazandaran_Iran_2024</x:v>
      </x:c>
      <x:c r="C118" s="7" t="n">
        <x:v>17</x:v>
      </x:c>
      <x:c r="D118" s="13" t="str">
        <x:v>University of Mazandaran</x:v>
      </x:c>
      <x:c r="E118" s="13" t="str">
        <x:v>Iran</x:v>
      </x:c>
      <x:c r="F118" s="13" t="str">
        <x:v>1. Exchange of faculty and/or staff;
2. Exchange of graduate and/or undergraduate student;
3. Exchange of scientific material, publication, and information;
4. Exchange of cultural activity;
5. Joint conferences and academic program; and/or
6. Joint research activity and publication</x:v>
      </x:c>
      <x:c r="G118" s="11" t="n">
        <x:v>45538.5</x:v>
      </x:c>
      <x:c r="H118" s="11" t="n">
        <x:v>47363.5</x:v>
      </x:c>
      <x:c r="I118" s="7" t="str">
        <x:f>TEXT(G118,"dd mmm yyyy")&amp;" – "&amp;TEXT(H118,"dd mmm yyyy")</x:f>
        <x:v>03 Sep 2024 – 02 Sep 2029</x:v>
      </x:c>
      <x:c r="J118" s="7" t="str">
        <x:f>IF(H118&lt;TODAY(),"Expired","Active")</x:f>
        <x:v>Active</x:v>
      </x:c>
      <x:c r="K118" s="15" t="str">
        <x:v>https://drive.google.com/file/d/1PrZqOhWXr04d-dK5llLUpcqwibqTEMKu/view?usp=drive_link</x:v>
      </x:c>
    </x:row>
    <x:row r="119" ht="42" customHeight="1">
      <x:c r="A119" s="9" t="str">
        <x:v>MOU-2024-021</x:v>
      </x:c>
      <x:c r="B119" s="9" t="str">
        <x:v>MoU_Mae Fah Luang University_Thailand_2024</x:v>
      </x:c>
      <x:c r="C119" s="7" t="n">
        <x:v>21</x:v>
      </x:c>
      <x:c r="D119" s="13" t="str">
        <x:v>Mae Fah Luang University</x:v>
      </x:c>
      <x:c r="E119" s="13" t="str">
        <x:v>Thailand</x:v>
      </x:c>
      <x:c r="F119" s="13" t="str">
        <x:v>1) Exchange of faculty and or staff
2) Exchange of graduate and or undergraduate students
3) Exchange of scientific materials, publication, and information
4) Exchange of cultural activities
5) Joint conferences and academic programs
6) Joint research activities and publications</x:v>
      </x:c>
      <x:c r="G119" s="11" t="n">
        <x:v>45523.5</x:v>
      </x:c>
      <x:c r="H119" s="11" t="n">
        <x:v>47348.5</x:v>
      </x:c>
      <x:c r="I119" s="7" t="str">
        <x:f>TEXT(G119,"dd mmm yyyy")&amp;" – "&amp;TEXT(H119,"dd mmm yyyy")</x:f>
        <x:v>19 Aug 2024 – 18 Aug 2029</x:v>
      </x:c>
      <x:c r="J119" s="7" t="str">
        <x:f>IF(H119&lt;TODAY(),"Expired","Active")</x:f>
        <x:v>Active</x:v>
      </x:c>
      <x:c r="K119" s="15" t="str">
        <x:v>https://drive.google.com/file/d/1KBU2F84IV-LpjfadOQffp_DlZk13-MII/view?usp=drive_link</x:v>
      </x:c>
    </x:row>
    <x:row r="120" ht="42" customHeight="1">
      <x:c r="A120" s="9" t="str">
        <x:v>MOU-2024-022</x:v>
      </x:c>
      <x:c r="B120" s="9" t="str">
        <x:v>MoU_Universiti Teknologi Malaysia_Malaysia_2024</x:v>
      </x:c>
      <x:c r="C120" s="7" t="n">
        <x:v>22</x:v>
      </x:c>
      <x:c r="D120" s="13" t="str">
        <x:v>Universiti Teknologi Malaysia</x:v>
      </x:c>
      <x:c r="E120" s="13" t="str">
        <x:v>Malaysia</x:v>
      </x:c>
      <x:c r="F120" s="13" t="str">
        <x:v>a) Joint seminar/webinar/conference
b) Joint research and supervision (to be mutually agreed)
c) Joint publication
d) Research/faculty/student attachment and exchange
e) Summer School, Short Courses and Training
f) Sharing of equipment/laboratories for research purpose; and
g) Any other areas of co-operation to be mutually agreed upon by the Parties</x:v>
      </x:c>
      <x:c r="G120" s="11" t="n">
        <x:v>45519.5</x:v>
      </x:c>
      <x:c r="H120" s="11" t="n">
        <x:v>47344.5</x:v>
      </x:c>
      <x:c r="I120" s="7" t="str">
        <x:f>TEXT(G120,"dd mmm yyyy")&amp;" – "&amp;TEXT(H120,"dd mmm yyyy")</x:f>
        <x:v>15 Aug 2024 – 14 Aug 2029</x:v>
      </x:c>
      <x:c r="J120" s="7" t="str">
        <x:f>IF(H120&lt;TODAY(),"Expired","Active")</x:f>
        <x:v>Active</x:v>
      </x:c>
      <x:c r="K120" s="15" t="str">
        <x:v>https://drive.google.com/file/d/1WDU4eIm8F71VmQ7mkkoaw9kmoAIilCeV/view?usp=drive_link</x:v>
      </x:c>
    </x:row>
    <x:row r="121" ht="42" customHeight="1">
      <x:c r="A121" s="9" t="str">
        <x:v>MOU-2024-023</x:v>
      </x:c>
      <x:c r="B121" s="9" t="str">
        <x:v>MoU_Victoria University_Australia_2024</x:v>
      </x:c>
      <x:c r="C121" s="7" t="n">
        <x:v>23</x:v>
      </x:c>
      <x:c r="D121" s="13" t="str">
        <x:v>Victoria University</x:v>
      </x:c>
      <x:c r="E121" s="13" t="str">
        <x:v>Australia</x:v>
      </x:c>
      <x:c r="F121" s="13" t="str">
        <x:v>1) Exchange of faculty and/or staff;
2) Exchange of graduate and/or undergraduate student;
3) Exchange of research activities
4) Joint programs;
5) Joint conferences and academic program;
6) Exchange of academic materials and information;
7) Student mobility.</x:v>
      </x:c>
      <x:c r="G121" s="11" t="n">
        <x:v>45513.5</x:v>
      </x:c>
      <x:c r="H121" s="11" t="n">
        <x:v>47338.5</x:v>
      </x:c>
      <x:c r="I121" s="7" t="str">
        <x:f>TEXT(G121,"dd mmm yyyy")&amp;" – "&amp;TEXT(H121,"dd mmm yyyy")</x:f>
        <x:v>09 Aug 2024 – 08 Aug 2029</x:v>
      </x:c>
      <x:c r="J121" s="7" t="str">
        <x:f>IF(H121&lt;TODAY(),"Expired","Active")</x:f>
        <x:v>Active</x:v>
      </x:c>
      <x:c r="K121" s="15" t="str">
        <x:v>https://drive.google.com/file/d/10ziPKd7Iqg8Xhb_3NEHgfzvSmE21AK2e/view?usp=drive_link</x:v>
      </x:c>
    </x:row>
    <x:row r="122" ht="42" customHeight="1">
      <x:c r="A122" s="9" t="str">
        <x:v>MOU-2024-024</x:v>
      </x:c>
      <x:c r="B122" s="9" t="str">
        <x:v>MoU_Universiti Sultan Zainal Abidin_Malaysia_2024</x:v>
      </x:c>
      <x:c r="C122" s="7" t="n">
        <x:v>24</x:v>
      </x:c>
      <x:c r="D122" s="13" t="str">
        <x:v>Universiti Sultan Zainal Abidin</x:v>
      </x:c>
      <x:c r="E122" s="13" t="str">
        <x:v>Malaysia</x:v>
      </x:c>
      <x:c r="F122" s="13" t="str">
        <x:v>a) Joint research
b) Exchange of academic staff for the purpose of collaborative research, discussion and lectures which benefits both Parties
c) Joint publication in research journal, book chapter, and exchange of academic material and academic publications
d) Exchange of undergraduate and graduate students for academic and research; and
e) Any other areas of co-operation which may be mutually agreed upon by the Parties</x:v>
      </x:c>
      <x:c r="G122" s="11" t="n">
        <x:v>45496.5</x:v>
      </x:c>
      <x:c r="H122" s="11" t="n">
        <x:v>47321.5</x:v>
      </x:c>
      <x:c r="I122" s="7" t="str">
        <x:f>TEXT(G122,"dd mmm yyyy")&amp;" – "&amp;TEXT(H122,"dd mmm yyyy")</x:f>
        <x:v>23 Jul 2024 – 22 Jul 2029</x:v>
      </x:c>
      <x:c r="J122" s="7" t="str">
        <x:f>IF(H122&lt;TODAY(),"Expired","Active")</x:f>
        <x:v>Active</x:v>
      </x:c>
      <x:c r="K122" s="15" t="str">
        <x:v>https://drive.google.com/file/d/1U8Fq52Tn8b0wONW00fUwx7l3p-X8Th9U/view?usp=drive_link</x:v>
      </x:c>
    </x:row>
    <x:row r="123" ht="42" customHeight="1">
      <x:c r="A123" s="9" t="str">
        <x:v>MOU-2024-025</x:v>
      </x:c>
      <x:c r="B123" s="9" t="str">
        <x:v>MoU_University of Western Australia_Australia_2024</x:v>
      </x:c>
      <x:c r="C123" s="7" t="n">
        <x:v>25</x:v>
      </x:c>
      <x:c r="D123" s="13" t="str">
        <x:v>University of Western Australia</x:v>
      </x:c>
      <x:c r="E123" s="13" t="str">
        <x:v>Australia</x:v>
      </x:c>
      <x:c r="F123" s="13" t="str">
        <x:v>a) exchange of staff
b) joint research activities
c) joint conferences and other academic meetings
d) exchange of academic materials and information; and
e) exchange of students</x:v>
      </x:c>
      <x:c r="G123" s="11" t="n">
        <x:v>45492.5</x:v>
      </x:c>
      <x:c r="H123" s="11" t="n">
        <x:v>47317.5</x:v>
      </x:c>
      <x:c r="I123" s="7" t="str">
        <x:f>TEXT(G123,"dd mmm yyyy")&amp;" – "&amp;TEXT(H123,"dd mmm yyyy")</x:f>
        <x:v>19 Jul 2024 – 18 Jul 2029</x:v>
      </x:c>
      <x:c r="J123" s="7" t="str">
        <x:f>IF(H123&lt;TODAY(),"Expired","Active")</x:f>
        <x:v>Active</x:v>
      </x:c>
      <x:c r="K123" s="15" t="str">
        <x:v>https://drive.google.com/file/d/1Lz_HECJd0tS5o2_D4yfHRUaeSJ5gcRDm/view?usp=drive_link</x:v>
      </x:c>
    </x:row>
    <x:row r="124" ht="42" customHeight="1">
      <x:c r="A124" s="9" t="str">
        <x:v>MOU-2024-026</x:v>
      </x:c>
      <x:c r="B124" s="9" t="str">
        <x:v>MoU_Iloilo State University of Fisheries Science and Technology (ISUFST)_Philippines_2024</x:v>
      </x:c>
      <x:c r="C124" s="7" t="n">
        <x:v>26</x:v>
      </x:c>
      <x:c r="D124" s="13" t="str">
        <x:v>Iloilo State University of Fisheries Science and Technology (ISUFST)</x:v>
      </x:c>
      <x:c r="E124" s="13" t="str">
        <x:v>Philippines</x:v>
      </x:c>
      <x:c r="F124" s="13" t="str">
        <x:v>1) Exchange of faculty and other academic, research, extension, and administrative staff
2) Exchange of students for further study, internship, immersion, and field of study
3) Conducting collaborative research and extension projects
4) Conducting lectures and organizing symposia and conferences
5) Exchange of academic information and materials
6) Promoting other academic cooperation as mutually agreed</x:v>
      </x:c>
      <x:c r="G124" s="11" t="n">
        <x:v>45485.5</x:v>
      </x:c>
      <x:c r="H124" s="11" t="n">
        <x:v>47310.5</x:v>
      </x:c>
      <x:c r="I124" s="7" t="str">
        <x:f>TEXT(G124,"dd mmm yyyy")&amp;" – "&amp;TEXT(H124,"dd mmm yyyy")</x:f>
        <x:v>12 Jul 2024 – 11 Jul 2029</x:v>
      </x:c>
      <x:c r="J124" s="7" t="str">
        <x:f>IF(H124&lt;TODAY(),"Expired","Active")</x:f>
        <x:v>Active</x:v>
      </x:c>
      <x:c r="K124" s="15" t="str">
        <x:v>https://drive.google.com/file/d/1acEsZwxQxIsyWzoBhNuFVhaYXiEnLMGA/view?usp=drive_link</x:v>
      </x:c>
    </x:row>
    <x:row r="125" ht="42" customHeight="1">
      <x:c r="A125" s="9" t="str">
        <x:v>MOU-2024-027</x:v>
      </x:c>
      <x:c r="B125" s="9" t="str">
        <x:v>MoU_Adam Mickiewicz University in Poznan_Poland_2024</x:v>
      </x:c>
      <x:c r="C125" s="7" t="n">
        <x:v>27</x:v>
      </x:c>
      <x:c r="D125" s="13" t="str">
        <x:v>Adam Mickiewicz University in Poznan</x:v>
      </x:c>
      <x:c r="E125" s="13" t="str">
        <x:v>Poland</x:v>
      </x:c>
      <x:c r="F125" s="13" t="str">
        <x:v>1) Exchange experience, organize consultations and reciprocal visits and deliver lectures by representative of both universities
2) Foster participation in conferences and symposia by young academics
3) Facilitate research conducted by young academics
4) Facilitate exchange of academics and students
5) Cooperate in the exchange of publications and scientific information</x:v>
      </x:c>
      <x:c r="G125" s="11" t="n">
        <x:v>45484.5</x:v>
      </x:c>
      <x:c r="H125" s="11" t="n">
        <x:v>47309.5</x:v>
      </x:c>
      <x:c r="I125" s="7" t="str">
        <x:f>TEXT(G125,"dd mmm yyyy")&amp;" – "&amp;TEXT(H125,"dd mmm yyyy")</x:f>
        <x:v>11 Jul 2024 – 10 Jul 2029</x:v>
      </x:c>
      <x:c r="J125" s="7" t="str">
        <x:f>IF(H125&lt;TODAY(),"Expired","Active")</x:f>
        <x:v>Active</x:v>
      </x:c>
      <x:c r="K125" s="15" t="str">
        <x:v>https://drive.google.com/file/d/1vYUzP2ZbelkN8B3YcNH5r42dFnrifpV4/view?usp=sharing</x:v>
      </x:c>
    </x:row>
    <x:row r="126" ht="42" customHeight="1">
      <x:c r="A126" s="9" t="str">
        <x:v>MOU-2024-028</x:v>
      </x:c>
      <x:c r="B126" s="9" t="str">
        <x:v>MoU_BGI College_China_2024</x:v>
      </x:c>
      <x:c r="C126" s="7" t="n">
        <x:v>28</x:v>
      </x:c>
      <x:c r="D126" s="13" t="str">
        <x:v>BGI College</x:v>
      </x:c>
      <x:c r="E126" s="13" t="str">
        <x:v>China</x:v>
      </x:c>
      <x:c r="F126" s="13" t="str">
        <x:v>a) Joint Undergraduate Program
b) UB Postgraduate Program - BGI Special Project
c) Joint Postdoctoral Program
d) The exchange program</x:v>
      </x:c>
      <x:c r="G126" s="11" t="n">
        <x:v>45467.5</x:v>
      </x:c>
      <x:c r="H126" s="11" t="n">
        <x:v>47292.5</x:v>
      </x:c>
      <x:c r="I126" s="7" t="str">
        <x:f>TEXT(G126,"dd mmm yyyy")&amp;" – "&amp;TEXT(H126,"dd mmm yyyy")</x:f>
        <x:v>24 Jun 2024 – 23 Jun 2029</x:v>
      </x:c>
      <x:c r="J126" s="7" t="str">
        <x:f>IF(H126&lt;TODAY(),"Expired","Active")</x:f>
        <x:v>Active</x:v>
      </x:c>
      <x:c r="K126" s="15" t="str">
        <x:v>https://drive.google.com/file/d/1k2r-HgzO12ORdtpsGnUiN7C2eRegsrss/view?usp=drive_link</x:v>
      </x:c>
    </x:row>
    <x:row r="127" ht="42" customHeight="1">
      <x:c r="A127" s="9" t="str">
        <x:v>MOU-2024-029</x:v>
      </x:c>
      <x:c r="B127" s="9" t="str">
        <x:v>MoU_Macquarie University_Australia_2024</x:v>
      </x:c>
      <x:c r="C127" s="7" t="n">
        <x:v>29</x:v>
      </x:c>
      <x:c r="D127" s="13" t="str">
        <x:v>Macquarie University</x:v>
      </x:c>
      <x:c r="E127" s="13" t="str">
        <x:v>Australia</x:v>
      </x:c>
      <x:c r="F127" s="13" t="str">
        <x:v>a) exchange of staff;
b) joint research activities;
c) joint conferences and other academic meetings;
d) exchange of academic materials and information; and
e) exchange of students.</x:v>
      </x:c>
      <x:c r="G127" s="11" t="n">
        <x:v>45450.5</x:v>
      </x:c>
      <x:c r="H127" s="11" t="n">
        <x:v>47276.5</x:v>
      </x:c>
      <x:c r="I127" s="7" t="str">
        <x:f>TEXT(G127,"dd mmm yyyy")&amp;" – "&amp;TEXT(H127,"dd mmm yyyy")</x:f>
        <x:v>07 Jun 2024 – 07 Jun 2029</x:v>
      </x:c>
      <x:c r="J127" s="7" t="str">
        <x:f>IF(H127&lt;TODAY(),"Expired","Active")</x:f>
        <x:v>Active</x:v>
      </x:c>
      <x:c r="K127" s="15" t="str">
        <x:v>https://drive.google.com/file/d/1hvjA62L_UVp9rY0UpzII-uzPdG3bKnd2/view?usp=drive_link</x:v>
      </x:c>
    </x:row>
    <x:row r="128" ht="42" customHeight="1">
      <x:c r="A128" s="9" t="str">
        <x:v>MOU-2024-030</x:v>
      </x:c>
      <x:c r="B128" s="9" t="str">
        <x:v>MoU_Institute of Water Resources and Hydropower Research_China_2024</x:v>
      </x:c>
      <x:c r="C128" s="7" t="n">
        <x:v>30</x:v>
      </x:c>
      <x:c r="D128" s="13" t="str">
        <x:v>Institute
of Water Resources and Hydropower Research</x:v>
      </x:c>
      <x:c r="E128" s="13" t="str">
        <x:v>China</x:v>
      </x:c>
      <x:c r="F128" s="13" t="str">
        <x:v>a) the exchange of faculty members and researchers
b) the exchange of students and other staff
c) joint research activities
d) the exchange of academic materials, publications and other information
e) other activities yet to be discussed</x:v>
      </x:c>
      <x:c r="G128" s="11" t="n">
        <x:v>45434.5</x:v>
      </x:c>
      <x:c r="H128" s="11" t="n">
        <x:v>47260.5</x:v>
      </x:c>
      <x:c r="I128" s="7" t="str">
        <x:f>TEXT(G128,"dd mmm yyyy")&amp;" – "&amp;TEXT(H128,"dd mmm yyyy")</x:f>
        <x:v>22 May 2024 – 22 May 2029</x:v>
      </x:c>
      <x:c r="J128" s="7" t="str">
        <x:f>IF(H128&lt;TODAY(),"Expired","Active")</x:f>
        <x:v>Active</x:v>
      </x:c>
      <x:c r="K128" s="15" t="str">
        <x:v>https://drive.google.com/file/d/1uZJVGgTao9p8BNn7vA9XNIRr0bGLc19n/view?usp=drive_link</x:v>
      </x:c>
    </x:row>
    <x:row r="129" ht="42" customHeight="1">
      <x:c r="A129" s="9" t="str">
        <x:v>MOU-2024-031</x:v>
      </x:c>
      <x:c r="B129" s="9" t="str">
        <x:v>MoU_Khulna University_Bangladesh_2024</x:v>
      </x:c>
      <x:c r="C129" s="7" t="n">
        <x:v>31</x:v>
      </x:c>
      <x:c r="D129" s="13" t="str">
        <x:v>Khulna University</x:v>
      </x:c>
      <x:c r="E129" s="13" t="str">
        <x:v>Bangladesh</x:v>
      </x:c>
      <x:c r="F129"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129" s="11" t="n">
        <x:v>45429.5</x:v>
      </x:c>
      <x:c r="H129" s="11" t="n">
        <x:v>47255.5</x:v>
      </x:c>
      <x:c r="I129" s="7" t="str">
        <x:f>TEXT(G129,"dd mmm yyyy")&amp;" – "&amp;TEXT(H129,"dd mmm yyyy")</x:f>
        <x:v>17 May 2024 – 17 May 2029</x:v>
      </x:c>
      <x:c r="J129" s="7" t="str">
        <x:f>IF(H129&lt;TODAY(),"Expired","Active")</x:f>
        <x:v>Active</x:v>
      </x:c>
      <x:c r="K129" s="15" t="str">
        <x:v>https://drive.google.com/file/d/1ruPrjg1aH6xMnvYL6Bb4IBKpgU0QM2oA/view?usp=drive_link</x:v>
      </x:c>
    </x:row>
    <x:row r="130" ht="42" customHeight="1">
      <x:c r="A130" s="9" t="str">
        <x:v>MOU-2024-032</x:v>
      </x:c>
      <x:c r="B130" s="9" t="str">
        <x:v>MoU_Naresuan University_Thailand_2024</x:v>
      </x:c>
      <x:c r="C130" s="7" t="n">
        <x:v>32</x:v>
      </x:c>
      <x:c r="D130" s="13" t="str">
        <x:v>Naresuan University</x:v>
      </x:c>
      <x:c r="E130" s="13" t="str">
        <x:v>Thailand</x:v>
      </x:c>
      <x:c r="F130"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130" s="11" t="n">
        <x:v>45429.5</x:v>
      </x:c>
      <x:c r="H130" s="11" t="n">
        <x:v>47255.5</x:v>
      </x:c>
      <x:c r="I130" s="7" t="str">
        <x:f>TEXT(G130,"dd mmm yyyy")&amp;" – "&amp;TEXT(H130,"dd mmm yyyy")</x:f>
        <x:v>17 May 2024 – 17 May 2029</x:v>
      </x:c>
      <x:c r="J130" s="7" t="str">
        <x:f>IF(H130&lt;TODAY(),"Expired","Active")</x:f>
        <x:v>Active</x:v>
      </x:c>
      <x:c r="K130" s="15" t="str">
        <x:v>https://drive.google.com/file/d/1tWOshU8_LTcMZPefFcFmmcAnUrWTdFYe/view?usp=drive_link</x:v>
      </x:c>
    </x:row>
    <x:row r="131" ht="42" customHeight="1">
      <x:c r="A131" s="9" t="str">
        <x:v>MOU-2024-033</x:v>
      </x:c>
      <x:c r="B131" s="9" t="str">
        <x:v>MoU_Institute of Laboratory Animal Science, Chinese Academy of Medical Sciences and Peeking Union Medical College_China_2024</x:v>
      </x:c>
      <x:c r="C131" s="7" t="n">
        <x:v>33</x:v>
      </x:c>
      <x:c r="D131" s="13" t="str">
        <x:v>Institute of Laboratory Animal Science, Chinese Academy of Medical Sciences and Peeking Union Medical College</x:v>
      </x:c>
      <x:c r="E131" s="13" t="str">
        <x:v>China</x:v>
      </x:c>
      <x:c r="F131" s="13" t="str">
        <x:v>a) to exchange information on research and educational programmes
b) to exchange information on teaching, learning material and other literature relevant to their educational and research programmes
c) to jointly organize short-term continuing education programes on topics of mutual interest and to invite each other's researchers to participate therein
d) to jointly organize seminars, conferences, or workshops on topics of mutual interest and to invite each other's researchers to participate therein
e) to jointly propose and engage in research or training programmes sponsored by funding agencies, and to invite each other's researchers to participate therein
f) to exchange, on reciprocal basis, researchers and students for limited periods of time for purpose of education and / or research</x:v>
      </x:c>
      <x:c r="G131" s="11" t="n">
        <x:v>45425.5</x:v>
      </x:c>
      <x:c r="H131" s="11" t="n">
        <x:v>47251.5</x:v>
      </x:c>
      <x:c r="I131" s="7" t="str">
        <x:f>TEXT(G131,"dd mmm yyyy")&amp;" – "&amp;TEXT(H131,"dd mmm yyyy")</x:f>
        <x:v>13 May 2024 – 13 May 2029</x:v>
      </x:c>
      <x:c r="J131" s="7" t="str">
        <x:f>IF(H131&lt;TODAY(),"Expired","Active")</x:f>
        <x:v>Active</x:v>
      </x:c>
      <x:c r="K131" s="15" t="str">
        <x:v>https://drive.google.com/file/d/1FdnGCtNmVwZQWpbGrU5rl58WPraGgTqr/view?usp=drive_link</x:v>
      </x:c>
    </x:row>
    <x:row r="132" ht="42" customHeight="1">
      <x:c r="A132" s="9" t="str">
        <x:v>MOU-2024-034</x:v>
      </x:c>
      <x:c r="B132" s="9" t="str">
        <x:v>MoU_Tianjin Foreign Studies University_China_2024</x:v>
      </x:c>
      <x:c r="C132" s="7" t="n">
        <x:v>34</x:v>
      </x:c>
      <x:c r="D132" s="13" t="str">
        <x:v>Tianjin Foreign Studies University</x:v>
      </x:c>
      <x:c r="E132" s="13" t="str">
        <x:v>China</x:v>
      </x:c>
      <x:c r="F132" s="13" t="str">
        <x:v>The Parties will jointly develop the House of Indonesian Culture 
(Rumah Budaya Indonesia) located in Tianjin Foreign Studies University (TFSU)</x:v>
      </x:c>
      <x:c r="G132" s="11" t="n">
        <x:v>45415.5</x:v>
      </x:c>
      <x:c r="H132" s="11" t="n">
        <x:v>47241.5</x:v>
      </x:c>
      <x:c r="I132" s="7" t="str">
        <x:f>TEXT(G132,"dd mmm yyyy")&amp;" – "&amp;TEXT(H132,"dd mmm yyyy")</x:f>
        <x:v>03 May 2024 – 03 May 2029</x:v>
      </x:c>
      <x:c r="J132" s="7" t="str">
        <x:f>IF(H132&lt;TODAY(),"Expired","Active")</x:f>
        <x:v>Active</x:v>
      </x:c>
      <x:c r="K132" s="15" t="str">
        <x:v>https://drive.google.com/file/d/1fJX57QRvgQqVQj_jmBed7jHPI_qKKJWG/view?usp=drive_link</x:v>
      </x:c>
    </x:row>
    <x:row r="133" ht="42" customHeight="1">
      <x:c r="A133" s="9" t="str">
        <x:v>MOU-2024-035</x:v>
      </x:c>
      <x:c r="B133" s="9" t="str">
        <x:v>MoU_Universiti Utara Malaysia_Malaysia_2024</x:v>
      </x:c>
      <x:c r="C133" s="7" t="n">
        <x:v>35</x:v>
      </x:c>
      <x:c r="D133" s="13" t="str">
        <x:v>Universiti Utara Malaysia</x:v>
      </x:c>
      <x:c r="E133" s="13" t="str">
        <x:v>Malaysia</x:v>
      </x:c>
      <x:c r="F133" s="13" t="str">
        <x:v>a) Student mobility
b) Exchange of staff
c) Appointment of visiting scholar
d) Offering double degree programme
e) Joint research
f) Joint publications; and
g) any other areas of cooperation to be mutually agreed upon by the Parties from time to time</x:v>
      </x:c>
      <x:c r="G133" s="11" t="n">
        <x:v>45411.5</x:v>
      </x:c>
      <x:c r="H133" s="11" t="n">
        <x:v>46505.5</x:v>
      </x:c>
      <x:c r="I133" s="7" t="str">
        <x:f>TEXT(G133,"dd mmm yyyy")&amp;" – "&amp;TEXT(H133,"dd mmm yyyy")</x:f>
        <x:v>29 Apr 2024 – 28 Apr 2027</x:v>
      </x:c>
      <x:c r="J133" s="7" t="str">
        <x:f>IF(H133&lt;TODAY(),"Expired","Active")</x:f>
        <x:v>Active</x:v>
      </x:c>
      <x:c r="K133" s="15" t="str">
        <x:v>https://drive.google.com/file/d/1itLmsSxPs3FLmdKNuvobmvC-BRhVpfkM/view?usp=drive_link</x:v>
      </x:c>
    </x:row>
    <x:row r="134" ht="42" customHeight="1">
      <x:c r="A134" s="9" t="str">
        <x:v>MOU-2024-036</x:v>
      </x:c>
      <x:c r="B134" s="9" t="str">
        <x:v>MoU_University of Queensland_Australia_2024</x:v>
      </x:c>
      <x:c r="C134" s="7" t="n">
        <x:v>36</x:v>
      </x:c>
      <x:c r="D134" s="13" t="str">
        <x:v>University of Queensland</x:v>
      </x:c>
      <x:c r="E134" s="13" t="str">
        <x:v>Australia</x:v>
      </x:c>
      <x:c r="F134" s="13" t="str">
        <x:v>(i) Collaborative research and publication
(ii) Visits between institutions by academic and research staff
(iii) Sharing of institutional reports, data, and academic materials
(iv) Joint organisation of meetings, workshops, and seminars
(v) Exploration of pathway options for students from UB and UQ; and
(vi) Other areas as mutually agreed to.</x:v>
      </x:c>
      <x:c r="G134" s="11" t="n">
        <x:v>45411.5</x:v>
      </x:c>
      <x:c r="H134" s="11" t="n">
        <x:v>47237.5</x:v>
      </x:c>
      <x:c r="I134" s="7" t="str">
        <x:f>TEXT(G134,"dd mmm yyyy")&amp;" – "&amp;TEXT(H134,"dd mmm yyyy")</x:f>
        <x:v>29 Apr 2024 – 29 Apr 2029</x:v>
      </x:c>
      <x:c r="J134" s="7" t="str">
        <x:f>IF(H134&lt;TODAY(),"Expired","Active")</x:f>
        <x:v>Active</x:v>
      </x:c>
      <x:c r="K134" s="15" t="str">
        <x:v>https://drive.google.com/file/d/1xXxtK_8XT1M0L5S5IKWOGkj-hOaWYydO/view?usp=drive_link</x:v>
      </x:c>
    </x:row>
    <x:row r="135" ht="42" customHeight="1">
      <x:c r="A135" s="9" t="str">
        <x:v>MOU-2024-037</x:v>
      </x:c>
      <x:c r="B135" s="9" t="str">
        <x:v>MoU_Queensland University of Technology_Australia_2024</x:v>
      </x:c>
      <x:c r="C135" s="7" t="n">
        <x:v>37</x:v>
      </x:c>
      <x:c r="D135" s="13" t="str">
        <x:v>Queensland University of Technology</x:v>
      </x:c>
      <x:c r="E135" s="13" t="str">
        <x:v>Australia</x:v>
      </x:c>
      <x:c r="F135" s="13" t="str">
        <x:v>Dual Degree</x:v>
      </x:c>
      <x:c r="G135" s="11" t="n">
        <x:v>45391.5</x:v>
      </x:c>
      <x:c r="H135" s="11" t="n">
        <x:v>47118.5</x:v>
      </x:c>
      <x:c r="I135" s="7" t="str">
        <x:f>TEXT(G135,"dd mmm yyyy")&amp;" – "&amp;TEXT(H135,"dd mmm yyyy")</x:f>
        <x:v>09 Apr 2024 – 31 Dec 2028</x:v>
      </x:c>
      <x:c r="J135" s="7" t="str">
        <x:f>IF(H135&lt;TODAY(),"Expired","Active")</x:f>
        <x:v>Active</x:v>
      </x:c>
      <x:c r="K135" s="15" t="str">
        <x:v>https://drive.google.com/file/d/1DvwPt62g5Xpn0PKsdkpDq5RgHICyCFnv/view?usp=drive_link</x:v>
      </x:c>
    </x:row>
    <x:row r="136" ht="42" customHeight="1">
      <x:c r="A136" s="9" t="str">
        <x:v>MOU-2024-038</x:v>
      </x:c>
      <x:c r="B136" s="9" t="str">
        <x:v>MoU_Isabela State University_Philippines_2024</x:v>
      </x:c>
      <x:c r="C136" s="7" t="n">
        <x:v>38</x:v>
      </x:c>
      <x:c r="D136" s="13" t="str">
        <x:v>Isabela State University</x:v>
      </x:c>
      <x:c r="E136" s="13" t="str">
        <x:v>Philippines</x:v>
      </x:c>
      <x:c r="F136" s="13" t="str">
        <x:v>1) To encourage exchanges and visits in the following categories: undergraduate and graduate students, non-teaching and post-graduate fellows, and faculty members
2) To exchange information and materials in those fields which are of interest to both universities
3) To organize joint conferences, online trainings/workshops and academic programs
4) To arrange joint research activities and publications</x:v>
      </x:c>
      <x:c r="G136" s="11" t="n">
        <x:v>45387.5</x:v>
      </x:c>
      <x:c r="H136" s="11" t="n">
        <x:v>47213.5</x:v>
      </x:c>
      <x:c r="I136" s="7" t="str">
        <x:f>TEXT(G136,"dd mmm yyyy")&amp;" – "&amp;TEXT(H136,"dd mmm yyyy")</x:f>
        <x:v>05 Apr 2024 – 05 Apr 2029</x:v>
      </x:c>
      <x:c r="J136" s="7" t="str">
        <x:f>IF(H136&lt;TODAY(),"Expired","Active")</x:f>
        <x:v>Active</x:v>
      </x:c>
      <x:c r="K136" s="15" t="str">
        <x:v>https://drive.google.com/file/d/1ehvZFOVvNaNS5ZfjGYgxZ8-hu5WYVgFZ/view?usp=drive_link</x:v>
      </x:c>
    </x:row>
    <x:row r="137" ht="42" customHeight="1">
      <x:c r="A137" s="9" t="str">
        <x:v>MOU-2024-039</x:v>
      </x:c>
      <x:c r="B137" s="9" t="str">
        <x:v>MoU_Ritsumeikan University and Ritsumeikan Asia Pacific University_Japan_2024</x:v>
      </x:c>
      <x:c r="C137" s="7" t="n">
        <x:v>39</x:v>
      </x:c>
      <x:c r="D137" s="13" t="str">
        <x:v>Ritsumeikan University and Ritsumeikan Asia Pacific University</x:v>
      </x:c>
      <x:c r="E137" s="13" t="str">
        <x:v>Japan</x:v>
      </x:c>
      <x:c r="F137" s="13" t="str">
        <x:v>a) Interaction between students
b) Interaction between faculty and administrative staff
c) Joint research projects
d) Joint research workshops and conferences
e) Joint cultural activities
f) Other activities upon the mutual agreement of the institutions concerned</x:v>
      </x:c>
      <x:c r="G137" s="11" t="n">
        <x:v>45384.5</x:v>
      </x:c>
      <x:c r="H137" s="11" t="n">
        <x:v>47210.5</x:v>
      </x:c>
      <x:c r="I137" s="7" t="str">
        <x:f>TEXT(G137,"dd mmm yyyy")&amp;" – "&amp;TEXT(H137,"dd mmm yyyy")</x:f>
        <x:v>02 Apr 2024 – 02 Apr 2029</x:v>
      </x:c>
      <x:c r="J137" s="7" t="str">
        <x:f>IF(H137&lt;TODAY(),"Expired","Active")</x:f>
        <x:v>Active</x:v>
      </x:c>
      <x:c r="K137" s="15" t="str">
        <x:v>https://drive.google.com/file/d/1w-ogzSi6wOt1i70hfHKKB_VU1UEZDjnf/view?usp=drive_link</x:v>
      </x:c>
    </x:row>
    <x:row r="138" ht="42" customHeight="1">
      <x:c r="A138" s="9" t="str">
        <x:v>MOU-2024-040</x:v>
      </x:c>
      <x:c r="B138" s="9" t="str">
        <x:v>MoU_Thanh Do University_Vietnam_2024</x:v>
      </x:c>
      <x:c r="C138" s="7" t="n">
        <x:v>40</x:v>
      </x:c>
      <x:c r="D138" s="13" t="str">
        <x:v>Thanh Do University</x:v>
      </x:c>
      <x:c r="E138" s="13" t="str">
        <x:v>Vietnam</x:v>
      </x:c>
      <x:c r="F138"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138" s="11" t="n">
        <x:v>45378.5</x:v>
      </x:c>
      <x:c r="H138" s="11" t="n">
        <x:v>47203.5</x:v>
      </x:c>
      <x:c r="I138" s="7" t="str">
        <x:f>TEXT(G138,"dd mmm yyyy")&amp;" – "&amp;TEXT(H138,"dd mmm yyyy")</x:f>
        <x:v>27 Mar 2024 – 26 Mar 2029</x:v>
      </x:c>
      <x:c r="J138" s="7" t="str">
        <x:f>IF(H138&lt;TODAY(),"Expired","Active")</x:f>
        <x:v>Active</x:v>
      </x:c>
      <x:c r="K138" s="15" t="str">
        <x:v>https://drive.google.com/file/d/1T3BDkzj6qQx7IFaKw7tUIt64LUfbn39T/view?usp=drive_link</x:v>
      </x:c>
    </x:row>
    <x:row r="139" ht="42" customHeight="1">
      <x:c r="A139" s="9" t="str">
        <x:v>MOU-2024-041</x:v>
      </x:c>
      <x:c r="B139" s="9" t="str">
        <x:v>MoU_The University of Leeds_United Kingdom_2024</x:v>
      </x:c>
      <x:c r="C139" s="7" t="n">
        <x:v>41</x:v>
      </x:c>
      <x:c r="D139" s="13" t="str">
        <x:v>The University of Leeds</x:v>
      </x:c>
      <x:c r="E139" s="13" t="str">
        <x:v>United Kingdom</x:v>
      </x:c>
      <x:c r="F139" s="13" t="str">
        <x:v>1) Development of collaborative research projects
2) Organisation of joint academic activities, such as: courses, conferences, seminars, symposia or lectures
3) Exchange of research and teaching personnel
4) Placement and/or exchange of students
5) Exchange of publications and other materials of common interest</x:v>
      </x:c>
      <x:c r="G139" s="11" t="n">
        <x:v>45378.5</x:v>
      </x:c>
      <x:c r="H139" s="11" t="n">
        <x:v>46473.5</x:v>
      </x:c>
      <x:c r="I139" s="7" t="str">
        <x:f>TEXT(G139,"dd mmm yyyy")&amp;" – "&amp;TEXT(H139,"dd mmm yyyy")</x:f>
        <x:v>27 Mar 2024 – 27 Mar 2027</x:v>
      </x:c>
      <x:c r="J139" s="7" t="str">
        <x:f>IF(H139&lt;TODAY(),"Expired","Active")</x:f>
        <x:v>Active</x:v>
      </x:c>
      <x:c r="K139" s="15" t="str">
        <x:v>https://drive.google.com/file/d/1WN7UtnPFFnpD-QuYwfp5RaMGEdsbnks_/view?usp=drive_link</x:v>
      </x:c>
    </x:row>
    <x:row r="140" ht="42" customHeight="1">
      <x:c r="A140" s="9" t="str">
        <x:v>MOU-2024-042</x:v>
      </x:c>
      <x:c r="B140" s="9" t="str">
        <x:v>MoU_Kutahya Dumlupinar University_Turkiye_2024</x:v>
      </x:c>
      <x:c r="C140" s="7" t="n">
        <x:v>44</x:v>
      </x:c>
      <x:c r="D140" s="13" t="str">
        <x:v>Kutahya Dumlupinar University</x:v>
      </x:c>
      <x:c r="E140" s="13" t="str">
        <x:v>Turkiye</x:v>
      </x:c>
      <x:c r="F140"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140" s="11" t="n">
        <x:v>45373.5</x:v>
      </x:c>
      <x:c r="H140" s="11" t="n">
        <x:v>47199.5</x:v>
      </x:c>
      <x:c r="I140" s="7" t="str">
        <x:f>TEXT(G140,"dd mmm yyyy")&amp;" – "&amp;TEXT(H140,"dd mmm yyyy")</x:f>
        <x:v>22 Mar 2024 – 22 Mar 2029</x:v>
      </x:c>
      <x:c r="J140" s="7" t="str">
        <x:f>IF(H140&lt;TODAY(),"Expired","Active")</x:f>
        <x:v>Active</x:v>
      </x:c>
      <x:c r="K140" s="15" t="str">
        <x:v>https://drive.google.com/file/d/1H_T1VNjTt7FZsKZ4N-Hfwf8x2hEYSIBn/view?usp=drive_link</x:v>
      </x:c>
    </x:row>
    <x:row r="141" ht="42" customHeight="1">
      <x:c r="A141" s="9" t="str">
        <x:v>MOU-2024-043</x:v>
      </x:c>
      <x:c r="B141" s="9" t="str">
        <x:v>MoU_Kyungpook National University_South Korea_2024</x:v>
      </x:c>
      <x:c r="C141" s="7" t="n">
        <x:v>43</x:v>
      </x:c>
      <x:c r="D141" s="13" t="str">
        <x:v>Kyungpook National University</x:v>
      </x:c>
      <x:c r="E141" s="13" t="str">
        <x:v>South Korea</x:v>
      </x:c>
      <x:c r="F141" s="13" t="str">
        <x:v>a) Exchange of students
b) Exchange of faculty members
c) Exchange of academic publications and information
d) Development of collaborative research
e) Development of joint educational programs</x:v>
      </x:c>
      <x:c r="G141" s="11" t="n">
        <x:v>45373.5</x:v>
      </x:c>
      <x:c r="H141" s="11" t="n">
        <x:v>47199.5</x:v>
      </x:c>
      <x:c r="I141" s="7" t="str">
        <x:f>TEXT(G141,"dd mmm yyyy")&amp;" – "&amp;TEXT(H141,"dd mmm yyyy")</x:f>
        <x:v>22 Mar 2024 – 22 Mar 2029</x:v>
      </x:c>
      <x:c r="J141" s="7" t="str">
        <x:f>IF(H141&lt;TODAY(),"Expired","Active")</x:f>
        <x:v>Active</x:v>
      </x:c>
      <x:c r="K141" s="15" t="str">
        <x:v>https://drive.google.com/file/d/1Tv9yZusz9UrgsZ9tKi5epn1h8OYwQuVD/view?usp=drive_link</x:v>
      </x:c>
    </x:row>
    <x:row r="142" ht="42" customHeight="1">
      <x:c r="A142" s="9" t="str">
        <x:v>MOU-2024-044</x:v>
      </x:c>
      <x:c r="B142" s="9" t="str">
        <x:v>MoU_Taiz University_Yemen_2024</x:v>
      </x:c>
      <x:c r="C142" s="7" t="n">
        <x:v>42</x:v>
      </x:c>
      <x:c r="D142" s="13" t="str">
        <x:v>Taiz University</x:v>
      </x:c>
      <x:c r="E142" s="13" t="str">
        <x:v>Yemen</x:v>
      </x:c>
      <x:c r="F142" s="13" t="str">
        <x:v>a) academic cooperation
b) research collaboration
c) community services</x:v>
      </x:c>
      <x:c r="G142" s="11" t="n">
        <x:v>45373.5</x:v>
      </x:c>
      <x:c r="H142" s="11" t="n">
        <x:v>47199.5</x:v>
      </x:c>
      <x:c r="I142" s="7" t="str">
        <x:f>TEXT(G142,"dd mmm yyyy")&amp;" – "&amp;TEXT(H142,"dd mmm yyyy")</x:f>
        <x:v>22 Mar 2024 – 22 Mar 2029</x:v>
      </x:c>
      <x:c r="J142" s="7" t="str">
        <x:f>IF(H142&lt;TODAY(),"Expired","Active")</x:f>
        <x:v>Active</x:v>
      </x:c>
      <x:c r="K142" s="15" t="str">
        <x:v>https://drive.google.com/file/d/1m5x9fJDjYIll8cZa55IDdVqPe3raPR6n/view?usp=drive_link</x:v>
      </x:c>
    </x:row>
    <x:row r="143" ht="42" customHeight="1">
      <x:c r="A143" s="9" t="str">
        <x:v>MOU-2024-045</x:v>
      </x:c>
      <x:c r="B143" s="9" t="str">
        <x:v>MoU_Chaoyang University of Technology-International Talent Circulation Base (INTACT Base)__2024</x:v>
      </x:c>
      <x:c r="C143" s="7" t="n">
        <x:v>45</x:v>
      </x:c>
      <x:c r="D143" s="13" t="str">
        <x:v>Chaoyang University of Technology-International Talent
Circulation Base (INTACT Base)</x:v>
      </x:c>
      <x:c r="E143" s="13" t="str"/>
      <x:c r="F143" s="13" t="str">
        <x:v>a) Talent Development
b) Mandarin Language Education</x:v>
      </x:c>
      <x:c r="G143" s="11" t="n">
        <x:v>45372.5</x:v>
      </x:c>
      <x:c r="H143" s="11" t="n">
        <x:v>47198.5</x:v>
      </x:c>
      <x:c r="I143" s="7" t="str">
        <x:f>TEXT(G143,"dd mmm yyyy")&amp;" – "&amp;TEXT(H143,"dd mmm yyyy")</x:f>
        <x:v>21 Mar 2024 – 21 Mar 2029</x:v>
      </x:c>
      <x:c r="J143" s="7" t="str">
        <x:f>IF(H143&lt;TODAY(),"Expired","Active")</x:f>
        <x:v>Active</x:v>
      </x:c>
      <x:c r="K143" s="15" t="str">
        <x:v>https://drive.google.com/file/d/1OyR4o914N6zzEcO6f-MiJq8l0nFKrQzc/view?usp=drive_link</x:v>
      </x:c>
    </x:row>
    <x:row r="144" ht="42" customHeight="1">
      <x:c r="A144" s="9" t="str">
        <x:v>MOU-2024-046</x:v>
      </x:c>
      <x:c r="B144" s="9" t="str">
        <x:v>MoU_Cheng Shiu University-International Talent Circulation Base (INTACT Base)__2024</x:v>
      </x:c>
      <x:c r="C144" s="7" t="n">
        <x:v>47</x:v>
      </x:c>
      <x:c r="D144" s="13" t="str">
        <x:v>Cheng Shiu University-International Talent
Circulation Base (INTACT Base)</x:v>
      </x:c>
      <x:c r="E144" s="13" t="str"/>
      <x:c r="F144" s="13" t="str">
        <x:v>a) Talent Development
b) Mandarin Language Education</x:v>
      </x:c>
      <x:c r="G144" s="11" t="n">
        <x:v>45372.5</x:v>
      </x:c>
      <x:c r="H144" s="11" t="n">
        <x:v>47198.5</x:v>
      </x:c>
      <x:c r="I144" s="7" t="str">
        <x:f>TEXT(G144,"dd mmm yyyy")&amp;" – "&amp;TEXT(H144,"dd mmm yyyy")</x:f>
        <x:v>21 Mar 2024 – 21 Mar 2029</x:v>
      </x:c>
      <x:c r="J144" s="7" t="str">
        <x:f>IF(H144&lt;TODAY(),"Expired","Active")</x:f>
        <x:v>Active</x:v>
      </x:c>
      <x:c r="K144" s="15" t="str">
        <x:v>https://drive.google.com/file/d/1cPlleaX-7KbfaaBR83YxkjLZCBXGbcB9/view?usp=drive_link</x:v>
      </x:c>
    </x:row>
    <x:row r="145" ht="42" customHeight="1">
      <x:c r="A145" s="9" t="str">
        <x:v>MOU-2024-047</x:v>
      </x:c>
      <x:c r="B145" s="9" t="str">
        <x:v>MoU_Hsing Wu University-International Talent Circulation Base (INTACT Base)__2024</x:v>
      </x:c>
      <x:c r="C145" s="7" t="n">
        <x:v>46</x:v>
      </x:c>
      <x:c r="D145" s="13" t="str">
        <x:v>Hsing Wu University-International Talent
Circulation Base (INTACT Base)</x:v>
      </x:c>
      <x:c r="E145" s="13" t="str"/>
      <x:c r="F145" s="13" t="str">
        <x:v>a) Talent Development
b) Mandarin Language Education</x:v>
      </x:c>
      <x:c r="G145" s="11" t="n">
        <x:v>45372.5</x:v>
      </x:c>
      <x:c r="H145" s="11" t="n">
        <x:v>47198.5</x:v>
      </x:c>
      <x:c r="I145" s="7" t="str">
        <x:f>TEXT(G145,"dd mmm yyyy")&amp;" – "&amp;TEXT(H145,"dd mmm yyyy")</x:f>
        <x:v>21 Mar 2024 – 21 Mar 2029</x:v>
      </x:c>
      <x:c r="J145" s="7" t="str">
        <x:f>IF(H145&lt;TODAY(),"Expired","Active")</x:f>
        <x:v>Active</x:v>
      </x:c>
      <x:c r="K145" s="15" t="str">
        <x:v>https://drive.google.com/file/d/1Cap6OQp0QbqdE5JSRWw9l3HH8N6LeEdb/view?usp=drive_link</x:v>
      </x:c>
    </x:row>
    <x:row r="146" ht="42" customHeight="1">
      <x:c r="A146" s="9" t="str">
        <x:v>MOU-2024-048</x:v>
      </x:c>
      <x:c r="B146" s="9" t="str">
        <x:v>MoU_VN-UK Institue for Research and Executive Education, the University of Da Nang_Vietnam_2024</x:v>
      </x:c>
      <x:c r="C146" s="7" t="n">
        <x:v>48</x:v>
      </x:c>
      <x:c r="D146" s="13" t="str">
        <x:v>VN-UK Institue for Research and Executive Education, the University of Da Nang</x:v>
      </x:c>
      <x:c r="E146" s="13" t="str">
        <x:v>Vietnam</x:v>
      </x:c>
      <x:c r="F146"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146" s="11" t="n">
        <x:v>45372.5</x:v>
      </x:c>
      <x:c r="H146" s="11" t="n">
        <x:v>47198.5</x:v>
      </x:c>
      <x:c r="I146" s="7" t="str">
        <x:f>TEXT(G146,"dd mmm yyyy")&amp;" – "&amp;TEXT(H146,"dd mmm yyyy")</x:f>
        <x:v>21 Mar 2024 – 21 Mar 2029</x:v>
      </x:c>
      <x:c r="J146" s="7" t="str">
        <x:f>IF(H146&lt;TODAY(),"Expired","Active")</x:f>
        <x:v>Active</x:v>
      </x:c>
      <x:c r="K146" s="15" t="str">
        <x:v>https://drive.google.com/file/d/1aHa31gHofcr1M1PbBQ8PHYHrjaY3LcT0/view?usp=drive_link</x:v>
      </x:c>
    </x:row>
    <x:row r="147" ht="42" customHeight="1">
      <x:c r="A147" s="9" t="str">
        <x:v>MOU-2024-049</x:v>
      </x:c>
      <x:c r="B147" s="9" t="str">
        <x:v>MoU_The Institute of Geochemistry, Chinese Academy of Sciences (IGCAS)_China_2024</x:v>
      </x:c>
      <x:c r="C147" s="7" t="n">
        <x:v>49</x:v>
      </x:c>
      <x:c r="D147" s="13" t="str">
        <x:v>The Institute of Geochemistry, Chinese Academy of Sciences (IGCAS)</x:v>
      </x:c>
      <x:c r="E147" s="13" t="str">
        <x:v>China</x:v>
      </x:c>
      <x:c r="F147" s="13" t="str">
        <x:v>a) Co-operating with the implementation of the Belt and Road Initiative to promote the construction of scientific and technological capabilities of the Belt and Road countries and developing countries.
b) Cultivating the scientific and technological teams of the Belt and Road countries and developing countries that will carry out long-term international cooperation with Institute of Geochemistry, Chinese Academy of Sciences in the future.
c) Collaboration in academic, research activities and community development.
d) Co-operating in disciplines including but not limited to geology, geomorphology, hydrology, microbiology, ecosystems and cave environments associated within karst critical zones; mineral resources, carbon cycle, biodiversity, water and soil conservations, heavy metals, water pollution and solid pollutants in karst regions.
e) Co-operating in areas including but not limited to the management of degraded and mining lands, environmental geochemistry, heavy metal pollution, environmental pollution, environmental remediation, environmental geology, biogeochemistry, water quality, soil-human health, and environmental monitoring.
f) Collaboration and capacity building through exchange programs, joint research supervision and publications.
g) Any other areas of co-operation to be mutually decided upon by the Parties.</x:v>
      </x:c>
      <x:c r="G147" s="11" t="n">
        <x:v>45351.5</x:v>
      </x:c>
      <x:c r="H147" s="11" t="n">
        <x:v>47178.5</x:v>
      </x:c>
      <x:c r="I147" s="7" t="str">
        <x:f>TEXT(G147,"dd mmm yyyy")&amp;" – "&amp;TEXT(H147,"dd mmm yyyy")</x:f>
        <x:v>29 Feb 2024 – 01 Mar 2029</x:v>
      </x:c>
      <x:c r="J147" s="7" t="str">
        <x:f>IF(H147&lt;TODAY(),"Expired","Active")</x:f>
        <x:v>Active</x:v>
      </x:c>
      <x:c r="K147" s="15" t="str">
        <x:v>https://drive.google.com/file/d/1_xKtxykkNoJdmIO2J1K7D44BMO11TmYF/view?usp=drive_link</x:v>
      </x:c>
    </x:row>
    <x:row r="148" ht="42" customHeight="1">
      <x:c r="A148" s="9" t="str">
        <x:v>MOU-2024-050</x:v>
      </x:c>
      <x:c r="B148" s="9" t="str">
        <x:v>MoU_Kochi University_Japan_2024</x:v>
      </x:c>
      <x:c r="C148" s="7" t="n">
        <x:v>50</x:v>
      </x:c>
      <x:c r="D148" s="13" t="str">
        <x:v>Kochi University</x:v>
      </x:c>
      <x:c r="E148" s="13" t="str">
        <x:v>Japan</x:v>
      </x:c>
      <x:c r="F148" s="13" t="str">
        <x:v>1) Exchange of faculty, researchers and other research and administrative staff
2) Exchange of students
3) Conducting collaborative research projects
4) Conducting lectures and organizing symposia
5) Exchange of academic information and materials
6) Promoting other academic cooperation as mutually agreed</x:v>
      </x:c>
      <x:c r="G148" s="11" t="n">
        <x:v>45343.5</x:v>
      </x:c>
      <x:c r="H148" s="11" t="n">
        <x:v>47170.5</x:v>
      </x:c>
      <x:c r="I148" s="7" t="str">
        <x:f>TEXT(G148,"dd mmm yyyy")&amp;" – "&amp;TEXT(H148,"dd mmm yyyy")</x:f>
        <x:v>21 Feb 2024 – 21 Feb 2029</x:v>
      </x:c>
      <x:c r="J148" s="7" t="str">
        <x:f>IF(H148&lt;TODAY(),"Expired","Active")</x:f>
        <x:v>Active</x:v>
      </x:c>
      <x:c r="K148" s="15" t="str">
        <x:v>https://drive.google.com/file/d/1VAGa_n-BgZY9DGAjfxq8_HyZo19TCJYE/view?usp=drive_link</x:v>
      </x:c>
    </x:row>
    <x:row r="149" ht="42" customHeight="1">
      <x:c r="A149" s="9" t="str">
        <x:v>MOU-2024-051</x:v>
      </x:c>
      <x:c r="B149" s="9" t="str">
        <x:v>MoU_Universiti Teknologi Mara_Malaysia_2024</x:v>
      </x:c>
      <x:c r="C149" s="7" t="n">
        <x:v>51</x:v>
      </x:c>
      <x:c r="D149" s="13" t="str">
        <x:v>Universiti Teknologi Mara</x:v>
      </x:c>
      <x:c r="E149" s="13" t="str">
        <x:v>Malaysia</x:v>
      </x:c>
      <x:c r="F149" s="13" t="str">
        <x:v>a) institutional exchanges between faculty and staff from each Party;
b) acceptance of undergraduate and graduate students of each Party for periods of study and/or research;
c) organization of symposia, conferences, short courses and meetings on research issues;
d) exchange of information pertaining to developments in teaching, student development and research;
e) mutually promote information and activities of the other Party within the scope of the Memorandum of Understanding on their respective websites (subject to prior written approval for the use of any logos or trademarks); and
f)  cooperation in any other areas as agreed to by the Parties from time to time.</x:v>
      </x:c>
      <x:c r="G149" s="11" t="n">
        <x:v>45337.5</x:v>
      </x:c>
      <x:c r="H149" s="11" t="n">
        <x:v>46433.5</x:v>
      </x:c>
      <x:c r="I149" s="7" t="str">
        <x:f>TEXT(G149,"dd mmm yyyy")&amp;" – "&amp;TEXT(H149,"dd mmm yyyy")</x:f>
        <x:v>15 Feb 2024 – 15 Feb 2027</x:v>
      </x:c>
      <x:c r="J149" s="7" t="str">
        <x:f>IF(H149&lt;TODAY(),"Expired","Active")</x:f>
        <x:v>Active</x:v>
      </x:c>
      <x:c r="K149" s="15" t="str">
        <x:v>https://drive.google.com/file/d/1j0EoMxReBgctONxCfrsUcpIy4Cy47zWb/view?usp=drive_link</x:v>
      </x:c>
    </x:row>
    <x:row r="150" ht="42" customHeight="1">
      <x:c r="A150" s="9" t="str">
        <x:v>MOU-2024-052</x:v>
      </x:c>
      <x:c r="B150" s="9" t="str">
        <x:v>MoU_The Australian Centre for International Agricultural Research (ACIAR)_Australia_2024</x:v>
      </x:c>
      <x:c r="C150" s="7" t="n">
        <x:v>52</x:v>
      </x:c>
      <x:c r="D150" s="13" t="str">
        <x:v>The Australian Centre for International Agricultural Research (ACIAR)</x:v>
      </x:c>
      <x:c r="E150" s="13" t="str">
        <x:v>Australia</x:v>
      </x:c>
      <x:c r="F150" s="13" t="str">
        <x:v>Agricultural Research</x:v>
      </x:c>
      <x:c r="G150" s="11" t="n">
        <x:v>45328.5</x:v>
      </x:c>
      <x:c r="H150" s="11" t="n">
        <x:v>47155.5</x:v>
      </x:c>
      <x:c r="I150" s="7" t="str">
        <x:f>TEXT(G150,"dd mmm yyyy")&amp;" – "&amp;TEXT(H150,"dd mmm yyyy")</x:f>
        <x:v>06 Feb 2024 – 06 Feb 2029</x:v>
      </x:c>
      <x:c r="J150" s="7" t="str">
        <x:f>IF(H150&lt;TODAY(),"Expired","Active")</x:f>
        <x:v>Active</x:v>
      </x:c>
      <x:c r="K150" s="15" t="str">
        <x:v>https://drive.google.com/file/d/1jOf0UFFCKvwNRpj43bZiiPMuUhKN3C0B/view?usp=drive_link</x:v>
      </x:c>
    </x:row>
    <x:row r="151" ht="42" customHeight="1">
      <x:c r="A151" s="9" t="str">
        <x:v>MOU-2024-053</x:v>
      </x:c>
      <x:c r="B151" s="9" t="str">
        <x:v>MoU_Guangxi Normal University_China_2024</x:v>
      </x:c>
      <x:c r="C151" s="7" t="n">
        <x:v>53</x:v>
      </x:c>
      <x:c r="D151" s="13" t="str">
        <x:v>Guangxi Normal University</x:v>
      </x:c>
      <x:c r="E151" s="13" t="str">
        <x:v>China</x:v>
      </x:c>
      <x:c r="F151" s="13" t="str">
        <x:v>1) Exchange of faculty
2) Exchange of students
3) Establishing a joint Diploma and Bachelor/Master's Degree programme
4) Organization of collaborative research projects
5) Conducting lectures and organising symposia
6) Exchange of academic information, publications, and materials
7) Promoting other collaboration as mutually agreed</x:v>
      </x:c>
      <x:c r="G151" s="11" t="n">
        <x:v>45323.5</x:v>
      </x:c>
      <x:c r="H151" s="11" t="n">
        <x:v>47150.5</x:v>
      </x:c>
      <x:c r="I151" s="7" t="str">
        <x:f>TEXT(G151,"dd mmm yyyy")&amp;" – "&amp;TEXT(H151,"dd mmm yyyy")</x:f>
        <x:v>01 Feb 2024 – 01 Feb 2029</x:v>
      </x:c>
      <x:c r="J151" s="7" t="str">
        <x:f>IF(H151&lt;TODAY(),"Expired","Active")</x:f>
        <x:v>Active</x:v>
      </x:c>
      <x:c r="K151" s="15" t="str">
        <x:v>https://drive.google.com/file/d/1cW240P7O604btZ66XigSzdms3RZLA3yv/view?usp=drive_link</x:v>
      </x:c>
    </x:row>
    <x:row r="152" ht="42" customHeight="1">
      <x:c r="A152" s="9" t="str">
        <x:v>MOU-2024-054</x:v>
      </x:c>
      <x:c r="B152" s="9" t="str">
        <x:v>MoU_People's Friendship University of Russia named After Patrice Lumumba (RUDN University)_Russia_2024</x:v>
      </x:c>
      <x:c r="C152" s="7" t="n">
        <x:v>54</x:v>
      </x:c>
      <x:c r="D152" s="13" t="str">
        <x:v>People's Friendship University
of Russia named After Patrice Lumumba
(RUDN University)</x:v>
      </x:c>
      <x:c r="E152" s="13" t="str">
        <x:v>Russia</x:v>
      </x:c>
      <x:c r="F152" s="13" t="str">
        <x:v>a) development of common researchers in fields of reciprocal interest;
b) faculty and scholars exchanges for learning, teaching and research experiences;
c) organization and mutual participation to scientific meetings, symposia and seminars;
d) mutual exchange of experiences and information about teaching programs and scientific methods and techniques.</x:v>
      </x:c>
      <x:c r="G152" s="11" t="n">
        <x:v>45323.5</x:v>
      </x:c>
      <x:c r="H152" s="11" t="n">
        <x:v>47150.5</x:v>
      </x:c>
      <x:c r="I152" s="7" t="str">
        <x:f>TEXT(G152,"dd mmm yyyy")&amp;" – "&amp;TEXT(H152,"dd mmm yyyy")</x:f>
        <x:v>01 Feb 2024 – 01 Feb 2029</x:v>
      </x:c>
      <x:c r="J152" s="7" t="str">
        <x:f>IF(H152&lt;TODAY(),"Expired","Active")</x:f>
        <x:v>Active</x:v>
      </x:c>
      <x:c r="K152" s="15" t="str">
        <x:v>https://drive.google.com/file/d/1oGul0WOHV30Aal1rcUm4HyOd-faBQnZX/view?usp=drive_link</x:v>
      </x:c>
    </x:row>
    <x:row r="153" ht="42" customHeight="1">
      <x:c r="A153" s="9" t="str">
        <x:v>MOU-2024-055</x:v>
      </x:c>
      <x:c r="B153" s="9" t="str">
        <x:v>MoU_Lincoln University_New Zealand_2024</x:v>
      </x:c>
      <x:c r="C153" s="7" t="n">
        <x:v>55</x:v>
      </x:c>
      <x:c r="D153" s="13" t="str">
        <x:v>Lincoln University</x:v>
      </x:c>
      <x:c r="E153" s="13" t="str">
        <x:v>New Zealand</x:v>
      </x:c>
      <x:c r="F153" s="13" t="str">
        <x:v>a) The exchange of faculty
b) Study abroad opportunities for students
c) Collaborative research 
d) The exchange of academic property
e) Collaborative staff development programs
f) Joint consultancies; and
g) Special programs of study</x:v>
      </x:c>
      <x:c r="G153" s="11" t="n">
        <x:v>45316.5</x:v>
      </x:c>
      <x:c r="H153" s="11" t="n">
        <x:v>47143.5</x:v>
      </x:c>
      <x:c r="I153" s="7" t="str">
        <x:f>TEXT(G153,"dd mmm yyyy")&amp;" – "&amp;TEXT(H153,"dd mmm yyyy")</x:f>
        <x:v>25 Jan 2024 – 25 Jan 2029</x:v>
      </x:c>
      <x:c r="J153" s="7" t="str">
        <x:f>IF(H153&lt;TODAY(),"Expired","Active")</x:f>
        <x:v>Active</x:v>
      </x:c>
      <x:c r="K153" s="15" t="str">
        <x:v>https://drive.google.com/file/d/1pLZa_xHInaki1noWOSor9i4aUC_0TdgN/view?usp=drive_link</x:v>
      </x:c>
    </x:row>
    <x:row r="154" ht="42" customHeight="1">
      <x:c r="A154" s="9" t="str">
        <x:v>MOU-2024-056</x:v>
      </x:c>
      <x:c r="B154" s="9" t="str">
        <x:v>MoU_Metharath University_Thailand_2024</x:v>
      </x:c>
      <x:c r="C154" s="7" t="n">
        <x:v>56</x:v>
      </x:c>
      <x:c r="D154" s="13" t="str">
        <x:v>Metharath University</x:v>
      </x:c>
      <x:c r="E154" s="13" t="str">
        <x:v>Thailand</x:v>
      </x:c>
      <x:c r="F154"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154" s="11" t="n">
        <x:v>45310.5</x:v>
      </x:c>
      <x:c r="H154" s="11" t="n">
        <x:v>47137.5</x:v>
      </x:c>
      <x:c r="I154" s="7" t="str">
        <x:f>TEXT(G154,"dd mmm yyyy")&amp;" – "&amp;TEXT(H154,"dd mmm yyyy")</x:f>
        <x:v>19 Jan 2024 – 19 Jan 2029</x:v>
      </x:c>
      <x:c r="J154" s="7" t="str">
        <x:f>IF(H154&lt;TODAY(),"Expired","Active")</x:f>
        <x:v>Active</x:v>
      </x:c>
      <x:c r="K154" s="15" t="str">
        <x:v>https://drive.google.com/file/d/19HRTiiLpefDsIq3waOszz6wXBQ5mP4IC/view?usp=drive_link</x:v>
      </x:c>
    </x:row>
    <x:row r="155" ht="42" customHeight="1">
      <x:c r="A155" s="9" t="str">
        <x:v>MOU-2024-057</x:v>
      </x:c>
      <x:c r="B155" s="9" t="str">
        <x:v>MoU_Yuanli Education Technology Co., Ltd._China_2024</x:v>
      </x:c>
      <x:c r="C155" s="7" t="n">
        <x:v>57</x:v>
      </x:c>
      <x:c r="D155" s="13" t="str">
        <x:v>Yuanli Education Technology Co., Ltd.</x:v>
      </x:c>
      <x:c r="E155" s="13" t="str">
        <x:v>China</x:v>
      </x:c>
      <x:c r="F155" s="13" t="str">
        <x:v>1) Party A or its affiliates shall be responsible for enrolling students from China for Party B
2) Cooperation in 3+1 Program
3) Cooperation in International Master's Programs
4) Cooperation in International Doctoral Programs
5) After the students from Party A earn all the credits in Indonesia, Party B shall issue corresponding degree certificates to the students
6) Party B warrants that all its issued degrees can be verified from the Chinese  Service Center for Scholarly Exchange (the "CSCE") directly under the Ministry of Education of the PRC
7) Both parties shall determine the programs and majors for cooperation and may agree on a new major for the cooperation after the agreement
8) Party A may obtain the exclusive authorization from party B for the agreed programs in China, with this authorization subject to review annually</x:v>
      </x:c>
      <x:c r="G155" s="11" t="n">
        <x:v>45306.5</x:v>
      </x:c>
      <x:c r="H155" s="11" t="n">
        <x:v>46401.5</x:v>
      </x:c>
      <x:c r="I155" s="7" t="str">
        <x:f>TEXT(G155,"dd mmm yyyy")&amp;" – "&amp;TEXT(H155,"dd mmm yyyy")</x:f>
        <x:v>15 Jan 2024 – 14 Jan 2027</x:v>
      </x:c>
      <x:c r="J155" s="7" t="str">
        <x:f>IF(H155&lt;TODAY(),"Expired","Active")</x:f>
        <x:v>Active</x:v>
      </x:c>
      <x:c r="K155" s="15" t="str">
        <x:v>https://drive.google.com/file/d/1n6zC6ylijvU4z99nRNPh3mO2ej3koH1e/view?usp=drive_link</x:v>
      </x:c>
    </x:row>
    <x:row r="156" ht="42" customHeight="1">
      <x:c r="A156" s="9" t="str">
        <x:v>MOU-2024-058</x:v>
      </x:c>
      <x:c r="B156" s="9" t="str">
        <x:v>MoU_Shinshu University_Japan_2024</x:v>
      </x:c>
      <x:c r="C156" s="7" t="n">
        <x:v>58</x:v>
      </x:c>
      <x:c r="D156" s="13" t="str">
        <x:v>Shinshu University</x:v>
      </x:c>
      <x:c r="E156" s="13" t="str">
        <x:v>Japan</x:v>
      </x:c>
      <x:c r="F156"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156" s="11" t="n">
        <x:v>45301.5</x:v>
      </x:c>
      <x:c r="H156" s="11" t="n">
        <x:v>47128.5</x:v>
      </x:c>
      <x:c r="I156" s="7" t="str">
        <x:f>TEXT(G156,"dd mmm yyyy")&amp;" – "&amp;TEXT(H156,"dd mmm yyyy")</x:f>
        <x:v>10 Jan 2024 – 10 Jan 2029</x:v>
      </x:c>
      <x:c r="J156" s="7" t="str">
        <x:f>IF(H156&lt;TODAY(),"Expired","Active")</x:f>
        <x:v>Active</x:v>
      </x:c>
      <x:c r="K156" s="15" t="str">
        <x:v>https://drive.google.com/file/d/1s9byYE-T6sdW46bnTaVor4cjLzPX7lL6/view?usp=drive_link</x:v>
      </x:c>
    </x:row>
    <x:row r="157" ht="42" customHeight="1">
      <x:c r="A157" s="9" t="str">
        <x:v>MOU-2024-059</x:v>
      </x:c>
      <x:c r="B157" s="9" t="str">
        <x:v>MoU_Hope Education Group (Hong Kong) Company Limited_Hong Kong_2024</x:v>
      </x:c>
      <x:c r="C157" s="7" t="n">
        <x:v>59</x:v>
      </x:c>
      <x:c r="D157" s="13" t="str">
        <x:v>Hope Education Group (Hong Kong) Company Limited</x:v>
      </x:c>
      <x:c r="E157" s="13" t="str">
        <x:v>Hong Kong</x:v>
      </x:c>
      <x:c r="F157" s="13" t="str">
        <x:v>1.1) To develop collaborative research projects and hold academic workshops
1.2) To develop joint educational programs and short-term seminars in specific fields
1.3) To exchange academic information, educational, research materials and publications
1.4) To exchange professors and researchers
1.5) To exchange students
1.6) To offer short-term exchange courses</x:v>
      </x:c>
      <x:c r="G157" s="11" t="n">
        <x:v>45300.5</x:v>
      </x:c>
      <x:c r="H157" s="11" t="n">
        <x:v>46396.5</x:v>
      </x:c>
      <x:c r="I157" s="7" t="str">
        <x:f>TEXT(G157,"dd mmm yyyy")&amp;" – "&amp;TEXT(H157,"dd mmm yyyy")</x:f>
        <x:v>09 Jan 2024 – 09 Jan 2027</x:v>
      </x:c>
      <x:c r="J157" s="7" t="str">
        <x:f>IF(H157&lt;TODAY(),"Expired","Active")</x:f>
        <x:v>Active</x:v>
      </x:c>
      <x:c r="K157" s="15" t="str">
        <x:v>https://drive.google.com/file/d/1DuoNRnjepXUbOhdBRFwMGuBkL1ZrAV_n/view?usp=drive_link</x:v>
      </x:c>
    </x:row>
    <x:row r="158" ht="42" customHeight="1">
      <x:c r="A158" s="9" t="str">
        <x:v>MOU-2023-001</x:v>
      </x:c>
      <x:c r="B158" s="9" t="str">
        <x:v>MoU_Institut Francais d'Indonesie (IFI)_France_2023</x:v>
      </x:c>
      <x:c r="C158" s="7" t="n">
        <x:v>1</x:v>
      </x:c>
      <x:c r="D158" s="13" t="str">
        <x:v>Institut Francais d'Indonesie (IFI)</x:v>
      </x:c>
      <x:c r="E158" s="13" t="str">
        <x:v>France</x:v>
      </x:c>
      <x:c r="F158" s="13" t="str">
        <x:v>1) Penempatan mahasiswa magang Prancis
2) Promosi sertifikasi DELF
3) Pelaksanaan latihan soal ujian tertulis DELF
4) Promosi penggunaan plateforme IFprofs
5) Penyediaan ruangan di IFI untuk kegiatan para mahasiswa
6) Penyediaan ruangan di UB untuk pelaksanaan kelas persiapan ujian DELF-DALF
7) Kunjungan dari IFI dan mediatek</x:v>
      </x:c>
      <x:c r="G158" s="11" t="n">
        <x:v>45275.5</x:v>
      </x:c>
      <x:c r="H158" s="11" t="n">
        <x:v>46006.5</x:v>
      </x:c>
      <x:c r="I158" s="7" t="str">
        <x:f>TEXT(G158,"dd mmm yyyy")&amp;" – "&amp;TEXT(H158,"dd mmm yyyy")</x:f>
        <x:v>15 Dec 2023 – 15 Dec 2025</x:v>
      </x:c>
      <x:c r="J158" s="7" t="str">
        <x:f>IF(H158&lt;TODAY(),"Expired","Active")</x:f>
        <x:v>Expired</x:v>
      </x:c>
      <x:c r="K158" s="15" t="str">
        <x:v>https://drive.google.com/file/d/1kA0Ggq82YRfecYf9zGwIIB7rEmSHViP4/view?usp=drive_link</x:v>
      </x:c>
    </x:row>
    <x:row r="159" ht="42" customHeight="1">
      <x:c r="A159" s="9" t="str">
        <x:v>MOU-2023-002</x:v>
      </x:c>
      <x:c r="B159" s="9" t="str">
        <x:v>MoU_D-8 International University_Iran_2023</x:v>
      </x:c>
      <x:c r="C159" s="7" t="n">
        <x:v>2</x:v>
      </x:c>
      <x:c r="D159" s="13" t="str">
        <x:v>D-8 International University</x:v>
      </x:c>
      <x:c r="E159" s="13" t="str">
        <x:v>Iran</x:v>
      </x:c>
      <x:c r="F159" s="13" t="str">
        <x:v>(a) exchange of students and/or staffs;
(b) joint academic programs;
(c) joint research and development programs;
(d) joint workshops and training programs;
(e) exchange of publication; and
(f) any other areas of co-operation to be mutually agreed upon by the Parties.</x:v>
      </x:c>
      <x:c r="G159" s="11" t="n">
        <x:v>45271.5</x:v>
      </x:c>
      <x:c r="H159" s="11" t="n">
        <x:v>47098.5</x:v>
      </x:c>
      <x:c r="I159" s="7" t="str">
        <x:f>TEXT(G159,"dd mmm yyyy")&amp;" – "&amp;TEXT(H159,"dd mmm yyyy")</x:f>
        <x:v>11 Dec 2023 – 11 Dec 2028</x:v>
      </x:c>
      <x:c r="J159" s="7" t="str">
        <x:f>IF(H159&lt;TODAY(),"Expired","Active")</x:f>
        <x:v>Active</x:v>
      </x:c>
      <x:c r="K159" s="15" t="str">
        <x:v>https://drive.google.com/file/d/1mz1eOAv1ClPHcCxVvgG03ZkTShBt1EzB/view?usp=drive_link</x:v>
      </x:c>
    </x:row>
    <x:row r="160" ht="42" customHeight="1">
      <x:c r="A160" s="9" t="str">
        <x:v>MOU-2023-003</x:v>
      </x:c>
      <x:c r="B160" s="9" t="str">
        <x:v>MoU_Raffles University_Malaysia_2023</x:v>
      </x:c>
      <x:c r="C160" s="7" t="n">
        <x:v>3</x:v>
      </x:c>
      <x:c r="D160" s="13" t="str">
        <x:v>Raffles University</x:v>
      </x:c>
      <x:c r="E160" s="13" t="str">
        <x:v>Malaysia</x:v>
      </x:c>
      <x:c r="F160" s="13" t="str">
        <x:v>1) Research collaboration
2) Student exchange programs
3) Teacher training 
4) Dual qualifications
5) And other possible areas as mutually agreed to</x:v>
      </x:c>
      <x:c r="G160" s="11" t="n">
        <x:v>45266.5</x:v>
      </x:c>
      <x:c r="H160" s="11" t="n">
        <x:v>45996.5</x:v>
      </x:c>
      <x:c r="I160" s="7" t="str">
        <x:f>TEXT(G160,"dd mmm yyyy")&amp;" – "&amp;TEXT(H160,"dd mmm yyyy")</x:f>
        <x:v>06 Dec 2023 – 05 Dec 2025</x:v>
      </x:c>
      <x:c r="J160" s="7" t="str">
        <x:f>IF(H160&lt;TODAY(),"Expired","Active")</x:f>
        <x:v>Expired</x:v>
      </x:c>
      <x:c r="K160" s="15" t="str">
        <x:v>https://drive.google.com/file/d/1g1Gjg0gAAbgcBtOUxMSk-TUS9Edx5EIq/view?usp=drive_link</x:v>
      </x:c>
    </x:row>
    <x:row r="161" ht="42" customHeight="1">
      <x:c r="A161" s="9" t="str">
        <x:v>MOU-2023-004</x:v>
      </x:c>
      <x:c r="B161" s="9" t="str">
        <x:v>MoU_University of Rzeszow_Poland_2023</x:v>
      </x:c>
      <x:c r="C161" s="7" t="n">
        <x:v>4</x:v>
      </x:c>
      <x:c r="D161" s="13" t="str">
        <x:v>University of Rzeszow</x:v>
      </x:c>
      <x:c r="E161" s="13" t="str">
        <x:v>Poland</x:v>
      </x:c>
      <x:c r="F161" s="13" t="str">
        <x:v>1) exchange of lecturers to conduct lectures and consultations,
2) exchange of scientific and didactic researchers to conduct scientific research and to participate in scientific conferences, etc.,
3) exchange of manuals, educational scripts and other publications,
4) exchange of experience in organising didactic process and academic curriculum of similar fields,
5) exchange of students (students’ placement, scientific conferences),
6) execution of mutual research projects.</x:v>
      </x:c>
      <x:c r="G161" s="11" t="n">
        <x:v>45254.5</x:v>
      </x:c>
      <x:c r="H161" s="11" t="n">
        <x:v>47081.5</x:v>
      </x:c>
      <x:c r="I161" s="7" t="str">
        <x:f>TEXT(G161,"dd mmm yyyy")&amp;" – "&amp;TEXT(H161,"dd mmm yyyy")</x:f>
        <x:v>24 Nov 2023 – 24 Nov 2028</x:v>
      </x:c>
      <x:c r="J161" s="7" t="str">
        <x:f>IF(H161&lt;TODAY(),"Expired","Active")</x:f>
        <x:v>Active</x:v>
      </x:c>
      <x:c r="K161" s="15" t="str">
        <x:v>https://drive.google.com/file/d/140iSMJykF7U1kvXa5LQEfUNAb6SBHy7x/view?usp=drive_link</x:v>
      </x:c>
    </x:row>
    <x:row r="162" ht="42" customHeight="1">
      <x:c r="A162" s="9" t="str">
        <x:v>MOU-2023-005</x:v>
      </x:c>
      <x:c r="B162" s="9" t="str">
        <x:v>MoU_Chiang Mai University_Malaysia_2023</x:v>
      </x:c>
      <x:c r="C162" s="7" t="n">
        <x:v>5</x:v>
      </x:c>
      <x:c r="D162" s="13" t="str">
        <x:v>Chiang Mai University</x:v>
      </x:c>
      <x:c r="E162" s="13" t="str">
        <x:v>Malaysia</x:v>
      </x:c>
      <x:c r="F162" s="13" t="str">
        <x:v>1) Exchange of faculty and/or staff;
2) Exchange of graduate and/or undergraduate student;
3) Exchange of scientific material, publication, and information;
4) Exchange of cultural activity;
5) Curriculum Development
6) Joint conferences and academic program;
7) Joint research activity and publication;</x:v>
      </x:c>
      <x:c r="G162" s="11" t="n">
        <x:v>45245.5</x:v>
      </x:c>
      <x:c r="H162" s="11" t="n">
        <x:v>47072.5</x:v>
      </x:c>
      <x:c r="I162" s="7" t="str">
        <x:f>TEXT(G162,"dd mmm yyyy")&amp;" – "&amp;TEXT(H162,"dd mmm yyyy")</x:f>
        <x:v>15 Nov 2023 – 15 Nov 2028</x:v>
      </x:c>
      <x:c r="J162" s="7" t="str">
        <x:f>IF(H162&lt;TODAY(),"Expired","Active")</x:f>
        <x:v>Active</x:v>
      </x:c>
      <x:c r="K162" s="15" t="str">
        <x:v>https://drive.google.com/file/d/1B0F-PM8_VxsjNEod0iIva2cNBlQiRJ4d/view?usp=drive_link</x:v>
      </x:c>
    </x:row>
    <x:row r="163" ht="42" customHeight="1">
      <x:c r="A163" s="9" t="str">
        <x:v>MOU-2023-006</x:v>
      </x:c>
      <x:c r="B163" s="9" t="str">
        <x:v>MoU_Universiti Tunku Abdul Rahman_Malaysia_2023</x:v>
      </x:c>
      <x:c r="C163" s="7" t="n">
        <x:v>7</x:v>
      </x:c>
      <x:c r="D163" s="13" t="str">
        <x:v>Universiti Tunku Abdul Rahman</x:v>
      </x:c>
      <x:c r="E163" s="13" t="str">
        <x:v>Malaysia</x:v>
      </x:c>
      <x:c r="F163"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163" s="11" t="n">
        <x:v>45245.5</x:v>
      </x:c>
      <x:c r="H163" s="11" t="n">
        <x:v>47072.5</x:v>
      </x:c>
      <x:c r="I163" s="7" t="str">
        <x:f>TEXT(G163,"dd mmm yyyy")&amp;" – "&amp;TEXT(H163,"dd mmm yyyy")</x:f>
        <x:v>15 Nov 2023 – 15 Nov 2028</x:v>
      </x:c>
      <x:c r="J163" s="7" t="str">
        <x:f>IF(H163&lt;TODAY(),"Expired","Active")</x:f>
        <x:v>Active</x:v>
      </x:c>
      <x:c r="K163" s="15" t="str">
        <x:v>https://drive.google.com/file/d/1D_prTaobvN3JDY4Tqp2unLsrnkF6ZPMG/view?usp=drive_link</x:v>
      </x:c>
    </x:row>
    <x:row r="164" ht="42" customHeight="1">
      <x:c r="A164" s="9" t="str">
        <x:v>MOU-2023-007</x:v>
      </x:c>
      <x:c r="B164" s="9" t="str">
        <x:v>MoU_Wakayama University_Japan_2023</x:v>
      </x:c>
      <x:c r="C164" s="7" t="n">
        <x:v>6</x:v>
      </x:c>
      <x:c r="D164" s="13" t="str">
        <x:v>Wakayama University</x:v>
      </x:c>
      <x:c r="E164" s="13" t="str">
        <x:v>Japan</x:v>
      </x:c>
      <x:c r="F164" s="13" t="str">
        <x:v>a) The exchange of materials and data related to education
b) The exchange of teachers and researchers
c) Student exchanges
d) Joint research activities</x:v>
      </x:c>
      <x:c r="G164" s="11" t="n">
        <x:v>45245.5</x:v>
      </x:c>
      <x:c r="H164" s="11" t="n">
        <x:v>47072.5</x:v>
      </x:c>
      <x:c r="I164" s="7" t="str">
        <x:f>TEXT(G164,"dd mmm yyyy")&amp;" – "&amp;TEXT(H164,"dd mmm yyyy")</x:f>
        <x:v>15 Nov 2023 – 15 Nov 2028</x:v>
      </x:c>
      <x:c r="J164" s="7" t="str">
        <x:f>IF(H164&lt;TODAY(),"Expired","Active")</x:f>
        <x:v>Active</x:v>
      </x:c>
      <x:c r="K164" s="15" t="str">
        <x:v>https://drive.google.com/file/d/1XdpbiQZ-A3uzAeEF2WvFxl8TS7w1mo5t/view?usp=drive_link</x:v>
      </x:c>
    </x:row>
    <x:row r="165" ht="42" customHeight="1">
      <x:c r="A165" s="9" t="str">
        <x:v>MOU-2023-008</x:v>
      </x:c>
      <x:c r="B165" s="9" t="str">
        <x:v>MoU_Bandirma Onyedi Eylül University_Turkey_2023</x:v>
      </x:c>
      <x:c r="C165" s="7" t="n">
        <x:v>10</x:v>
      </x:c>
      <x:c r="D165" s="13" t="str">
        <x:v>Bandirma Onyedi Eylül University</x:v>
      </x:c>
      <x:c r="E165" s="13" t="str">
        <x:v>Turkey</x:v>
      </x:c>
      <x:c r="F165" s="13" t="str">
        <x:v>a) Joint curricular activities in education and teaching, such as summer schools and diploma programs
b) Collaboration on Doctoral student exchange and on writing co-supervised Doctoral thesis
c) Joint extra-curricular activities in academic and scientific fields, such as certificate courses, conferences and symposia
d) Collaboration in Double Degree Programs
e) Collaborative academic and scientific publications
f) Exchange of undergraduate  and  graduate students 
g) Exchange of research and teaching staff
h) Exchange of academic publications and scholarly documents</x:v>
      </x:c>
      <x:c r="G165" s="11" t="n">
        <x:v>45244.5</x:v>
      </x:c>
      <x:c r="H165" s="11" t="n">
        <x:v>47071.5</x:v>
      </x:c>
      <x:c r="I165" s="7" t="str">
        <x:f>TEXT(G165,"dd mmm yyyy")&amp;" – "&amp;TEXT(H165,"dd mmm yyyy")</x:f>
        <x:v>14 Nov 2023 – 14 Nov 2028</x:v>
      </x:c>
      <x:c r="J165" s="7" t="str">
        <x:f>IF(H165&lt;TODAY(),"Expired","Active")</x:f>
        <x:v>Active</x:v>
      </x:c>
      <x:c r="K165" s="15" t="str">
        <x:v>https://drive.google.com/file/d/12Mqttrn-ob2o68CHxUeNQ_JCeVwYJ0qI/view?usp=drive_link</x:v>
      </x:c>
    </x:row>
    <x:row r="166" ht="42" customHeight="1">
      <x:c r="A166" s="9" t="str">
        <x:v>MOU-2023-009</x:v>
      </x:c>
      <x:c r="B166" s="9" t="str">
        <x:v>MoU_Middle East Technical University_Turkey_2023</x:v>
      </x:c>
      <x:c r="C166" s="7" t="n">
        <x:v>9</x:v>
      </x:c>
      <x:c r="D166" s="13" t="str">
        <x:v>Middle East Technical University</x:v>
      </x:c>
      <x:c r="E166" s="13" t="str">
        <x:v>Turkey</x:v>
      </x:c>
      <x:c r="F166" s="13" t="str">
        <x:v>1) Exchange of faculty members;
2) Exchange of students;
3) Joint research activities;
4) Participation in seminars and academic meetings;
5) Exchange of academic materials and other information;
6) Special short-term academic programs.</x:v>
      </x:c>
      <x:c r="G166" s="11" t="n">
        <x:v>45244.5</x:v>
      </x:c>
      <x:c r="H166" s="11" t="n">
        <x:v>47071.5</x:v>
      </x:c>
      <x:c r="I166" s="7" t="str">
        <x:f>TEXT(G166,"dd mmm yyyy")&amp;" – "&amp;TEXT(H166,"dd mmm yyyy")</x:f>
        <x:v>14 Nov 2023 – 14 Nov 2028</x:v>
      </x:c>
      <x:c r="J166" s="7" t="str">
        <x:f>IF(H166&lt;TODAY(),"Expired","Active")</x:f>
        <x:v>Active</x:v>
      </x:c>
      <x:c r="K166" s="15" t="str">
        <x:v>https://drive.google.com/file/d/1xQjXFl0CgHBj9rxcKkvJXEr4qVjmy5wv/view?usp=drive_link</x:v>
      </x:c>
    </x:row>
    <x:row r="167" ht="42" customHeight="1">
      <x:c r="A167" s="9" t="str">
        <x:v>MOU-2023-010</x:v>
      </x:c>
      <x:c r="B167" s="9" t="str">
        <x:v>MoU_Majmaah University_Saudi Arabia_2023</x:v>
      </x:c>
      <x:c r="C167" s="7" t="n">
        <x:v>8</x:v>
      </x:c>
      <x:c r="D167" s="13" t="str">
        <x:v>Majmaah University</x:v>
      </x:c>
      <x:c r="E167" s="13" t="str">
        <x:v>Saudi Arabia</x:v>
      </x:c>
      <x:c r="F167" s="13" t="str">
        <x:v>Understanding on the actions to complete the
regulatory procedures at each party for signing the
cooperation between the two parties in their
respective areas of competence.</x:v>
      </x:c>
      <x:c r="G167" s="11" t="n">
        <x:v>45243.5</x:v>
      </x:c>
      <x:c r="H167" s="11" t="n">
        <x:v>47070.5</x:v>
      </x:c>
      <x:c r="I167" s="7" t="str">
        <x:f>TEXT(G167,"dd mmm yyyy")&amp;" – "&amp;TEXT(H167,"dd mmm yyyy")</x:f>
        <x:v>13 Nov 2023 – 13 Nov 2028</x:v>
      </x:c>
      <x:c r="J167" s="7" t="str">
        <x:f>IF(H167&lt;TODAY(),"Expired","Active")</x:f>
        <x:v>Active</x:v>
      </x:c>
      <x:c r="K167" s="15" t="str">
        <x:v>https://drive.google.com/file/d/1QrX89qPWIIMIhdbvSrfuZYz8WTpvWW7F/view?usp=drive_link</x:v>
      </x:c>
    </x:row>
    <x:row r="168" ht="42" customHeight="1">
      <x:c r="A168" s="9" t="str">
        <x:v>MOU-2023-011</x:v>
      </x:c>
      <x:c r="B168" s="9" t="str">
        <x:v>MoU_INTI International University_Malaysia_2023</x:v>
      </x:c>
      <x:c r="C168" s="7" t="n">
        <x:v>11</x:v>
      </x:c>
      <x:c r="D168" s="13" t="str">
        <x:v>INTI International University</x:v>
      </x:c>
      <x:c r="E168" s="13" t="str">
        <x:v>Malaysia</x:v>
      </x:c>
      <x:c r="F168" s="13" t="str">
        <x:v>a) Exchange of visits, faculties and students exchange;
b) Development and implementation of joint educational and research projects;
c) Joint publication of the results of research activities; 
d) Participation in courses, seminars, trainings, conferences and symposiums organized by either of the Parties;
e) Exchange of academic materials and other information;
f) Exchange of experience in the field of tourism; and
g) Other activities and programs as may be mutually agreed upon by the Parties.</x:v>
      </x:c>
      <x:c r="G168" s="11" t="n">
        <x:v>45237.5</x:v>
      </x:c>
      <x:c r="H168" s="11" t="n">
        <x:v>47064.5</x:v>
      </x:c>
      <x:c r="I168" s="7" t="str">
        <x:f>TEXT(G168,"dd mmm yyyy")&amp;" – "&amp;TEXT(H168,"dd mmm yyyy")</x:f>
        <x:v>07 Nov 2023 – 07 Nov 2028</x:v>
      </x:c>
      <x:c r="J168" s="7" t="str">
        <x:f>IF(H168&lt;TODAY(),"Expired","Active")</x:f>
        <x:v>Active</x:v>
      </x:c>
      <x:c r="K168" s="15" t="str">
        <x:v>https://drive.google.com/file/d/1jguCKWcyWFqs8BY0vB_XShlTvET1WEvx/view?usp=drive_link</x:v>
      </x:c>
    </x:row>
    <x:row r="169" ht="42" customHeight="1">
      <x:c r="A169" s="9" t="str">
        <x:v>MOU-2023-012</x:v>
      </x:c>
      <x:c r="B169" s="9" t="str">
        <x:v>MoU_City University Malaysia_Malaysia_2023</x:v>
      </x:c>
      <x:c r="C169" s="7" t="n">
        <x:v>12</x:v>
      </x:c>
      <x:c r="D169" s="13" t="str">
        <x:v>City University Malaysia</x:v>
      </x:c>
      <x:c r="E169" s="13" t="str">
        <x:v>Malaysia</x:v>
      </x:c>
      <x:c r="F169" s="13" t="str">
        <x:v>1) Identifying potential progression pathway for students of both universities, at undergraduate, postgraduate and research level
2) Student Exchange and Staff Exchange
3) Acceptance of Credits Earned
4) Joint Research Collaboration
5) Extending research facilities to students and faculties</x:v>
      </x:c>
      <x:c r="G169" s="11" t="n">
        <x:v>45236.5</x:v>
      </x:c>
      <x:c r="H169" s="11" t="n">
        <x:v>47063.5</x:v>
      </x:c>
      <x:c r="I169" s="7" t="str">
        <x:f>TEXT(G169,"dd mmm yyyy")&amp;" – "&amp;TEXT(H169,"dd mmm yyyy")</x:f>
        <x:v>06 Nov 2023 – 06 Nov 2028</x:v>
      </x:c>
      <x:c r="J169" s="7" t="str">
        <x:f>IF(H169&lt;TODAY(),"Expired","Active")</x:f>
        <x:v>Active</x:v>
      </x:c>
      <x:c r="K169" s="15" t="str">
        <x:v>https://drive.google.com/file/d/1HBnFGxFzQMdBhPmT4qpiE9XK6513RqLU/view?usp=drive_link</x:v>
      </x:c>
    </x:row>
    <x:row r="170" ht="42" customHeight="1">
      <x:c r="A170" s="9" t="str">
        <x:v>MOU-2023-013</x:v>
      </x:c>
      <x:c r="B170" s="9" t="str">
        <x:v>MoU_Monash University_Australia_2023</x:v>
      </x:c>
      <x:c r="C170" s="7" t="n">
        <x:v>13</x:v>
      </x:c>
      <x:c r="D170" s="13" t="str">
        <x:v>Monash University</x:v>
      </x:c>
      <x:c r="E170" s="13" t="str">
        <x:v>Australia</x:v>
      </x:c>
      <x:c r="F170" s="13" t="str">
        <x:v>1) Research collaboration in the areas of mutual interest
2) Exchange of academic materials which are made available by both parties
3) Exchange of scholars
4) Exchange of students 
5) Cooperative seminars, workshops and other academic activities</x:v>
      </x:c>
      <x:c r="G170" s="11" t="n">
        <x:v>45232.5</x:v>
      </x:c>
      <x:c r="H170" s="11" t="n">
        <x:v>47059.5</x:v>
      </x:c>
      <x:c r="I170" s="7" t="str">
        <x:f>TEXT(G170,"dd mmm yyyy")&amp;" – "&amp;TEXT(H170,"dd mmm yyyy")</x:f>
        <x:v>02 Nov 2023 – 02 Nov 2028</x:v>
      </x:c>
      <x:c r="J170" s="7" t="str">
        <x:f>IF(H170&lt;TODAY(),"Expired","Active")</x:f>
        <x:v>Active</x:v>
      </x:c>
      <x:c r="K170" s="15" t="str">
        <x:v>https://drive.google.com/file/d/1CyUT2Fe-VXMAeVsdxtUTbC7tW2lUcOy6/view?usp=drive_link</x:v>
      </x:c>
    </x:row>
    <x:row r="171" ht="42" customHeight="1">
      <x:c r="A171" s="9" t="str">
        <x:v>MOU-2023-014</x:v>
      </x:c>
      <x:c r="B171" s="9" t="str">
        <x:v>MoU_IHE DELFT Institute for Water Education_Netherlands_2023</x:v>
      </x:c>
      <x:c r="C171" s="7" t="n">
        <x:v>14</x:v>
      </x:c>
      <x:c r="D171" s="13" t="str">
        <x:v>IHE DELFT Institute for Water Education</x:v>
      </x:c>
      <x:c r="E171" s="13" t="str">
        <x:v>Netherlands</x:v>
      </x:c>
      <x:c r="F171" s="13" t="str">
        <x:v>1) Exchange of faculty and/or staff;
2) Exchange of graduate student;
3) Exchange of scientific material, publication, and information;
4) Exchange of cultural activity;
5) Joint conferences and academic program;
6) Joint research activity and publication;</x:v>
      </x:c>
      <x:c r="G171" s="11" t="n">
        <x:v>45230.5</x:v>
      </x:c>
      <x:c r="H171" s="11" t="n">
        <x:v>47057.5</x:v>
      </x:c>
      <x:c r="I171" s="7" t="str">
        <x:f>TEXT(G171,"dd mmm yyyy")&amp;" – "&amp;TEXT(H171,"dd mmm yyyy")</x:f>
        <x:v>31 Oct 2023 – 31 Oct 2028</x:v>
      </x:c>
      <x:c r="J171" s="7" t="str">
        <x:f>IF(H171&lt;TODAY(),"Expired","Active")</x:f>
        <x:v>Active</x:v>
      </x:c>
      <x:c r="K171" s="15" t="str">
        <x:v>https://drive.google.com/file/d/1ttju_YNPsqgrkZwPczhJyH5FTN6YHSig/view?usp=drive_link</x:v>
      </x:c>
    </x:row>
    <x:row r="172" ht="42" customHeight="1">
      <x:c r="A172" s="9" t="str">
        <x:v>MOU-2023-015</x:v>
      </x:c>
      <x:c r="B172" s="9" t="str">
        <x:v>MoU_Beijing University of Chemical Technology (BUCT)_China_2023</x:v>
      </x:c>
      <x:c r="C172" s="7" t="n">
        <x:v>15</x:v>
      </x:c>
      <x:c r="D172" s="13" t="str">
        <x:v>Beijing University of Chemical Technology (BUCT)</x:v>
      </x:c>
      <x:c r="E172" s="13" t="str">
        <x:v>China</x:v>
      </x:c>
      <x:c r="F172" s="13" t="str">
        <x:v>1) Exchange of materials, publications and information
2) Exchange of professors and research staff
3) Exchange of students
4) Cooperative joint research and meetings for research
5) Joint development of academic programmes</x:v>
      </x:c>
      <x:c r="G172" s="11" t="n">
        <x:v>45224.5</x:v>
      </x:c>
      <x:c r="H172" s="11" t="n">
        <x:v>47051.5</x:v>
      </x:c>
      <x:c r="I172" s="7" t="str">
        <x:f>TEXT(G172,"dd mmm yyyy")&amp;" – "&amp;TEXT(H172,"dd mmm yyyy")</x:f>
        <x:v>25 Oct 2023 – 25 Oct 2028</x:v>
      </x:c>
      <x:c r="J172" s="7" t="str">
        <x:f>IF(H172&lt;TODAY(),"Expired","Active")</x:f>
        <x:v>Active</x:v>
      </x:c>
      <x:c r="K172" s="15" t="str">
        <x:v>https://drive.google.com/file/d/1zF9QzgppuCPp9LxeLZ8wPbBavN9_MGa_/view?usp=drive_link</x:v>
      </x:c>
    </x:row>
    <x:row r="173" ht="42" customHeight="1">
      <x:c r="A173" s="9" t="str">
        <x:v>MOU-2023-016</x:v>
      </x:c>
      <x:c r="B173" s="9" t="str">
        <x:v>MoU_Thai Global Business Administration Technological College_Thailand_2023</x:v>
      </x:c>
      <x:c r="C173" s="7" t="n">
        <x:v>16</x:v>
      </x:c>
      <x:c r="D173" s="13" t="str">
        <x:v>Thai Global Business Administration
Technological College</x:v>
      </x:c>
      <x:c r="E173" s="13" t="str">
        <x:v>Thailand</x:v>
      </x:c>
      <x:c r="F173"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173" s="11" t="n">
        <x:v>45223.5</x:v>
      </x:c>
      <x:c r="H173" s="11" t="n">
        <x:v>47050.5</x:v>
      </x:c>
      <x:c r="I173" s="7" t="str">
        <x:f>TEXT(G173,"dd mmm yyyy")&amp;" – "&amp;TEXT(H173,"dd mmm yyyy")</x:f>
        <x:v>24 Oct 2023 – 24 Oct 2028</x:v>
      </x:c>
      <x:c r="J173" s="7" t="str">
        <x:f>IF(H173&lt;TODAY(),"Expired","Active")</x:f>
        <x:v>Active</x:v>
      </x:c>
      <x:c r="K173" s="15" t="str">
        <x:v>https://drive.google.com/file/d/1cEt-emzUhtDg4SlNAk7i3O-x5zQFlT6l/view?usp=drive_link</x:v>
      </x:c>
    </x:row>
    <x:row r="174" ht="42" customHeight="1">
      <x:c r="A174" s="9" t="str">
        <x:v>MOU-2023-017</x:v>
      </x:c>
      <x:c r="B174" s="9" t="str">
        <x:v>MoU_Selcuk University_Turkiye_2023</x:v>
      </x:c>
      <x:c r="C174" s="7" t="n">
        <x:v>17</x:v>
      </x:c>
      <x:c r="D174" s="13" t="str">
        <x:v>Selcuk University</x:v>
      </x:c>
      <x:c r="E174" s="13" t="str">
        <x:v>Turkiye</x:v>
      </x:c>
      <x:c r="F174" s="13" t="str">
        <x:v>1) Exchange of faculty and/or staff;
2) Exchange of graduate and/or undergraduate student;
3) Exchange of scientific material, publication, and information;
4) Exchange of cultural aclivity;
5) Joint conferences and academic program;
6) Joint research activity and publication;</x:v>
      </x:c>
      <x:c r="G174" s="11" t="n">
        <x:v>45218.5</x:v>
      </x:c>
      <x:c r="H174" s="11" t="n">
        <x:v>47045.5</x:v>
      </x:c>
      <x:c r="I174" s="7" t="str">
        <x:f>TEXT(G174,"dd mmm yyyy")&amp;" – "&amp;TEXT(H174,"dd mmm yyyy")</x:f>
        <x:v>19 Oct 2023 – 19 Oct 2028</x:v>
      </x:c>
      <x:c r="J174" s="7" t="str">
        <x:f>IF(H174&lt;TODAY(),"Expired","Active")</x:f>
        <x:v>Active</x:v>
      </x:c>
      <x:c r="K174" s="15" t="str">
        <x:v>https://drive.google.com/file/d/1vaJ7221Tcx0DF9DdC3JWh0pcOFh1zg2Y/view?usp=drive_link</x:v>
      </x:c>
    </x:row>
    <x:row r="175" ht="42" customHeight="1">
      <x:c r="A175" s="9" t="str">
        <x:v>MOU-2023-018</x:v>
      </x:c>
      <x:c r="B175" s="9" t="str">
        <x:v>MoU_Universiti Malaya_Malaysia_2023</x:v>
      </x:c>
      <x:c r="C175" s="7" t="n">
        <x:v>18</x:v>
      </x:c>
      <x:c r="D175" s="13" t="str">
        <x:v>Universiti Malaya</x:v>
      </x:c>
      <x:c r="E175" s="13" t="str">
        <x:v>Malaysia</x:v>
      </x:c>
      <x:c r="F175" s="13" t="str">
        <x:v>Research Collaboration</x:v>
      </x:c>
      <x:c r="G175" s="11" t="n">
        <x:v>45200.5</x:v>
      </x:c>
      <x:c r="H175" s="11" t="n">
        <x:v>46295.5</x:v>
      </x:c>
      <x:c r="I175" s="7" t="str">
        <x:f>TEXT(G175,"dd mmm yyyy")&amp;" – "&amp;TEXT(H175,"dd mmm yyyy")</x:f>
        <x:v>01 Oct 2023 – 30 Sep 2026</x:v>
      </x:c>
      <x:c r="J175" s="7" t="str">
        <x:f>IF(H175&lt;TODAY(),"Expired","Active")</x:f>
        <x:v>Active</x:v>
      </x:c>
      <x:c r="K175" s="15" t="str">
        <x:v>https://drive.google.com/file/d/1j7rCRzgBeaUyoSjzugKTkbd5BRl4ZXux/view?usp=drive_link</x:v>
      </x:c>
    </x:row>
    <x:row r="176" ht="42" customHeight="1">
      <x:c r="A176" s="9" t="str">
        <x:v>MOU-2023-019</x:v>
      </x:c>
      <x:c r="B176" s="9" t="str">
        <x:v>MoU_TU WIEN - Technische Universitat Wien_Austria_2023</x:v>
      </x:c>
      <x:c r="C176" s="7" t="n">
        <x:v>19</x:v>
      </x:c>
      <x:c r="D176" s="13" t="str">
        <x:v>TU WIEN - Technische Universitat Wien</x:v>
      </x:c>
      <x:c r="E176" s="13" t="str">
        <x:v>Austria</x:v>
      </x:c>
      <x:c r="F176" s="13" t="str">
        <x:v>1) Joint research
   (a) Natural fiber reinforced composites characterization
   (b) Developing modeling strategy for composites
2) Researcher (Postdoctoral) exchange 
3) Visiting lectures
4) Hosting international meeting events (conference/workshop)
5) Joint publications
6) Student excursion
7) Curriculum development</x:v>
      </x:c>
      <x:c r="G176" s="11" t="n">
        <x:v>45189.5</x:v>
      </x:c>
      <x:c r="H176" s="11" t="n">
        <x:v>47016.5</x:v>
      </x:c>
      <x:c r="I176" s="7" t="str">
        <x:f>TEXT(G176,"dd mmm yyyy")&amp;" – "&amp;TEXT(H176,"dd mmm yyyy")</x:f>
        <x:v>20 Sep 2023 – 20 Sep 2028</x:v>
      </x:c>
      <x:c r="J176" s="7" t="str">
        <x:f>IF(H176&lt;TODAY(),"Expired","Active")</x:f>
        <x:v>Active</x:v>
      </x:c>
      <x:c r="K176" s="15" t="str">
        <x:v>https://drive.google.com/file/d/1mjkdSc8hUvsAiBFWSMgzYtC94rZnGwZ1/view?usp=drive_link</x:v>
      </x:c>
    </x:row>
    <x:row r="177" ht="42" customHeight="1">
      <x:c r="A177" s="9" t="str">
        <x:v>MOU-2023-020</x:v>
      </x:c>
      <x:c r="B177" s="9" t="str">
        <x:v>MoU_Kantor Imigrasi Kelas 1 TPI Malang_Indonesia_2023</x:v>
      </x:c>
      <x:c r="C177" s="7" t="n">
        <x:v>20</x:v>
      </x:c>
      <x:c r="D177" s="13" t="str">
        <x:v>Kantor Imigrasi Kelas 1 TPI Malang</x:v>
      </x:c>
      <x:c r="E177" s="13" t="str">
        <x:v>Indonesia</x:v>
      </x:c>
      <x:c r="F177" s="13" t="str">
        <x:v>a) pengembangan kerja sama penelitian (research collaboration) 
b) pelaksanaan seminar bersama (joint seminar)
c) pelaksanaan kegiatan dosen tamu (visiting lecturer)
d) pemagangan mahasiswa (internship)
e) pembentukan Immigration Corner beserta sarana dan prasarana pendukung
f) penyediaan akses pendidikan formal bagi pegawai Kantor Imigrasi Malang
g) publikasi media pada kegiatan tertentu
h) bidang lain yang disepakati PARA PIHAK</x:v>
      </x:c>
      <x:c r="G177" s="11" t="n">
        <x:v>45183.5</x:v>
      </x:c>
      <x:c r="H177" s="11" t="n">
        <x:v>45914.5</x:v>
      </x:c>
      <x:c r="I177" s="7" t="str">
        <x:f>TEXT(G177,"dd mmm yyyy")&amp;" – "&amp;TEXT(H177,"dd mmm yyyy")</x:f>
        <x:v>14 Sep 2023 – 14 Sep 2025</x:v>
      </x:c>
      <x:c r="J177" s="7" t="str">
        <x:f>IF(H177&lt;TODAY(),"Expired","Active")</x:f>
        <x:v>Expired</x:v>
      </x:c>
      <x:c r="K177" s="15" t="str">
        <x:v>https://drive.google.com/file/d/17_gt9iOnyimA9szFQ-DdLxgLmY7uI0-k/view?usp=drive_link</x:v>
      </x:c>
    </x:row>
    <x:row r="178" ht="42" customHeight="1">
      <x:c r="A178" s="9" t="str">
        <x:v>MOU-2023-021</x:v>
      </x:c>
      <x:c r="B178" s="9" t="str">
        <x:v>MoU_Hokuyo University_Japan_2023</x:v>
      </x:c>
      <x:c r="C178" s="7" t="n">
        <x:v>22</x:v>
      </x:c>
      <x:c r="D178" s="13" t="str">
        <x:v>Hokuyo University</x:v>
      </x:c>
      <x:c r="E178" s="13" t="str">
        <x:v>Japan</x:v>
      </x:c>
      <x:c r="F178" s="13" t="str">
        <x:v>1) Exchange of faculty, researchers and other research and administrative staff
2) Exchange of students
3) Conducting collaborative research projects
4) Conducting lectures and organizing symposia
5) Promoting other academic cooperation as mutually agreed</x:v>
      </x:c>
      <x:c r="G178" s="11" t="n">
        <x:v>45156.5</x:v>
      </x:c>
      <x:c r="H178" s="11" t="n">
        <x:v>46252.5</x:v>
      </x:c>
      <x:c r="I178" s="7" t="str">
        <x:f>TEXT(G178,"dd mmm yyyy")&amp;" – "&amp;TEXT(H178,"dd mmm yyyy")</x:f>
        <x:v>18 Aug 2023 – 18 Aug 2026</x:v>
      </x:c>
      <x:c r="J178" s="7" t="str">
        <x:f>IF(H178&lt;TODAY(),"Expired","Active")</x:f>
        <x:v>Active</x:v>
      </x:c>
      <x:c r="K178" s="15" t="str">
        <x:v>https://drive.google.com/file/d/1lI5qdz64Mko6GGmilmau8je5MaBBUkdH/view?usp=drive_link</x:v>
      </x:c>
    </x:row>
    <x:row r="179" ht="42" customHeight="1">
      <x:c r="A179" s="9" t="str">
        <x:v>MOU-2023-022</x:v>
      </x:c>
      <x:c r="B179" s="9" t="str">
        <x:v>MoU_Rajamangala University of Technology Thanyaburi_Thailand_2023</x:v>
      </x:c>
      <x:c r="C179" s="7" t="n">
        <x:v>21</x:v>
      </x:c>
      <x:c r="D179" s="13" t="str">
        <x:v>Rajamangala University of Technology Thanyaburi</x:v>
      </x:c>
      <x:c r="E179" s="13" t="str">
        <x:v>Thailand</x:v>
      </x:c>
      <x:c r="F179" s="13" t="str">
        <x:v>a) Exchange of students and staff such as academic, administrative and non-academic staff;
b) Organization of joint research programs as well as exchange of research materials, publications and information; and
c) Development and operation of joint academic programs and learning activities such as curricula development in areas of mutual interest and recruitment of students</x:v>
      </x:c>
      <x:c r="G179" s="11" t="n">
        <x:v>45156.5</x:v>
      </x:c>
      <x:c r="H179" s="11" t="n">
        <x:v>46983.5</x:v>
      </x:c>
      <x:c r="I179" s="7" t="str">
        <x:f>TEXT(G179,"dd mmm yyyy")&amp;" – "&amp;TEXT(H179,"dd mmm yyyy")</x:f>
        <x:v>18 Aug 2023 – 18 Aug 2028</x:v>
      </x:c>
      <x:c r="J179" s="7" t="str">
        <x:f>IF(H179&lt;TODAY(),"Expired","Active")</x:f>
        <x:v>Active</x:v>
      </x:c>
      <x:c r="K179" s="15" t="str">
        <x:v>https://drive.google.com/file/d/1EoRNGzjVG6_j3U2Pklcxxjel0LsAu3cM/view?usp=drive_link</x:v>
      </x:c>
    </x:row>
    <x:row r="180" ht="42" customHeight="1">
      <x:c r="A180" s="9" t="str">
        <x:v>MOU-2023-023</x:v>
      </x:c>
      <x:c r="B180" s="9" t="str">
        <x:v>MoU_Universidade Dili Timor Leste_Timor-Leste_2023</x:v>
      </x:c>
      <x:c r="C180" s="7" t="n">
        <x:v>23</x:v>
      </x:c>
      <x:c r="D180" s="13" t="str">
        <x:v>Universidade Dili Timor Leste</x:v>
      </x:c>
      <x:c r="E180" s="13" t="str">
        <x:v>Timor-Leste</x:v>
      </x:c>
      <x:c r="F180" s="13" t="str">
        <x:v>1) Exchange of faculty staff
2) Exchange of graduate/ undergraduate student
3) Exchange of scientific material, publication and information
4) Exchange of cultural activity
5) Joint conferences and academic program
6) Joint research activity and publication</x:v>
      </x:c>
      <x:c r="G180" s="11" t="n">
        <x:v>45154.5</x:v>
      </x:c>
      <x:c r="H180" s="11" t="n">
        <x:v>46981.5</x:v>
      </x:c>
      <x:c r="I180" s="7" t="str">
        <x:f>TEXT(G180,"dd mmm yyyy")&amp;" – "&amp;TEXT(H180,"dd mmm yyyy")</x:f>
        <x:v>16 Aug 2023 – 16 Aug 2028</x:v>
      </x:c>
      <x:c r="J180" s="7" t="str">
        <x:f>IF(H180&lt;TODAY(),"Expired","Active")</x:f>
        <x:v>Active</x:v>
      </x:c>
      <x:c r="K180" s="15" t="str">
        <x:v>https://drive.google.com/file/d/1y7UrAvAQWcSTYaJCuSq8_EHs0HIYOPNZ/view?usp=drive_link</x:v>
      </x:c>
    </x:row>
    <x:row r="181" ht="42" customHeight="1">
      <x:c r="A181" s="9" t="str">
        <x:v>MOU-2023-024</x:v>
      </x:c>
      <x:c r="B181" s="9" t="str">
        <x:v>MoU_National University of Political Studies and Public Administration (SNSPA)_Romania_2023</x:v>
      </x:c>
      <x:c r="C181" s="7" t="n">
        <x:v>24</x:v>
      </x:c>
      <x:c r="D181" s="13" t="str">
        <x:v>National University of Political Studies and Public Administration (SNSPA)</x:v>
      </x:c>
      <x:c r="E181" s="13" t="str">
        <x:v>Romania</x:v>
      </x:c>
      <x:c r="F181" s="13" t="str">
        <x:v>a) Expert and student exchange
b) Joint research activities and publications
c) Workshops for staff as well as for students' development and resource sharing
d) Joint conference
e) Internships
f) Any other area of cooperation to be mutually agreed upon by the Parties</x:v>
      </x:c>
      <x:c r="G181" s="11" t="n">
        <x:v>45148.5</x:v>
      </x:c>
      <x:c r="H181" s="11" t="n">
        <x:v>46975.5</x:v>
      </x:c>
      <x:c r="I181" s="7" t="str">
        <x:f>TEXT(G181,"dd mmm yyyy")&amp;" – "&amp;TEXT(H181,"dd mmm yyyy")</x:f>
        <x:v>10 Aug 2023 – 10 Aug 2028</x:v>
      </x:c>
      <x:c r="J181" s="7" t="str">
        <x:f>IF(H181&lt;TODAY(),"Expired","Active")</x:f>
        <x:v>Active</x:v>
      </x:c>
      <x:c r="K181" s="15" t="str">
        <x:v>https://drive.google.com/file/d/1TMcjOhw_uBsOzwLZyI8HNgkT5k-G-CP_/view?usp=drive_link</x:v>
      </x:c>
    </x:row>
    <x:row r="182" ht="42" customHeight="1">
      <x:c r="A182" s="9" t="str">
        <x:v>MOU-2023-025</x:v>
      </x:c>
      <x:c r="B182" s="9" t="str">
        <x:v>MoU_University Network for Tropical Agriculture (UNTA)_Taiwan_2023</x:v>
      </x:c>
      <x:c r="C182" s="7" t="n">
        <x:v>25</x:v>
      </x:c>
      <x:c r="D182" s="13" t="str">
        <x:v>University Network for Tropical Agriculture (UNTA)</x:v>
      </x:c>
      <x:c r="E182" s="13" t="str">
        <x:v>Taiwan</x:v>
      </x:c>
      <x:c r="F182" s="13" t="str">
        <x:v>1) To reinforce academic and research cooperation and collaboration :among universities focused on tropical agriculture and related fields.
2) To develop and strengthen the potentials of tropical agriculture to resolve food securiry safety, sustainability and related issues.
3) To promote faculty and student mobility and exchange among member universities and establish a mutual credit transfer system.
4) To work towards developing new opportunities such as joint conferences, dual degrees, and joint degrees, enhancing scientific publication and creating new academic activities.
5) To promote agriculture studies to attract high quality incoming students.
6) To provide recommendations to policy makers with respect to agriculfure-related issues.
7) Other appropriate activities not mentioned but within the scope of the mission agreed upon by UNTA members.</x:v>
      </x:c>
      <x:c r="G182" s="11" t="n">
        <x:v>45146.5</x:v>
      </x:c>
      <x:c r="H182" s="11" t="n">
        <x:v>46973.5</x:v>
      </x:c>
      <x:c r="I182" s="7" t="str">
        <x:f>TEXT(G182,"dd mmm yyyy")&amp;" – "&amp;TEXT(H182,"dd mmm yyyy")</x:f>
        <x:v>08 Aug 2023 – 08 Aug 2028</x:v>
      </x:c>
      <x:c r="J182" s="7" t="str">
        <x:f>IF(H182&lt;TODAY(),"Expired","Active")</x:f>
        <x:v>Active</x:v>
      </x:c>
      <x:c r="K182" s="15" t="str">
        <x:v>https://drive.google.com/file/d/1kE1PDm9HLtbjmcl2LWK5nfn-mNDKCeC2/view?usp=drive_link</x:v>
      </x:c>
    </x:row>
    <x:row r="183" ht="42" customHeight="1">
      <x:c r="A183" s="9" t="str">
        <x:v>MOU-2023-026</x:v>
      </x:c>
      <x:c r="B183" s="9" t="str">
        <x:v>MoU_Stitching Aflaotun International_Netherlands_2023</x:v>
      </x:c>
      <x:c r="C183" s="7" t="n">
        <x:v>26</x:v>
      </x:c>
      <x:c r="D183" s="13" t="str">
        <x:v>Stitching Aflaotun International</x:v>
      </x:c>
      <x:c r="E183" s="13" t="str">
        <x:v>Netherlands</x:v>
      </x:c>
      <x:c r="F183" s="13" t="str">
        <x:v>a) Supporting the development of curricular content and courses focusing on social and financial literacy, employability skills and entrepreneurship knowledge for youth in UB to prepare UB’s students for the future of work. Furthermore, empower them to put cross-discipline ideals in action to develop financial or social enterprise projects that can equip them with skills and experiences that real business environment requires or can positively give back to the community;
b) Introducing educational materials in the field of social and financial education to the faculty and students in the major of early childhood education to expand their professional horizons and encourage research;
c) Blending Aflatoun’s learner-centered and active learning pedagogies in the UB’s continuous professional development training for its faculty members to enrich their professional practice and enhance teaching strategies;
d) Developing advocacy activities in alignment with Aflatoun’s social and financial education curricula and local contexts and needs in UB to promote the interests and exchange the best practices and positive experience in the field of social and financial education.</x:v>
      </x:c>
      <x:c r="G183" s="11" t="n">
        <x:v>45134.5</x:v>
      </x:c>
      <x:c r="H183" s="11" t="n">
        <x:v>46752.5</x:v>
      </x:c>
      <x:c r="I183" s="7" t="str">
        <x:f>TEXT(G183,"dd mmm yyyy")&amp;" – "&amp;TEXT(H183,"dd mmm yyyy")</x:f>
        <x:v>27 Jul 2023 – 31 Dec 2027</x:v>
      </x:c>
      <x:c r="J183" s="7" t="str">
        <x:f>IF(H183&lt;TODAY(),"Expired","Active")</x:f>
        <x:v>Active</x:v>
      </x:c>
      <x:c r="K183" s="15" t="str">
        <x:v>https://drive.google.com/file/d/1QIArpLlw7PDRINDzOEjEiarDOjHvbIEu/view?usp=drive_link</x:v>
      </x:c>
    </x:row>
    <x:row r="184" ht="42" customHeight="1">
      <x:c r="A184" s="9" t="str">
        <x:v>MOU-2023-027</x:v>
      </x:c>
      <x:c r="B184" s="9" t="str">
        <x:v>MoU_Tomsk Polytechnic University_Russian Federation_2023</x:v>
      </x:c>
      <x:c r="C184" s="7" t="n">
        <x:v>27</x:v>
      </x:c>
      <x:c r="D184" s="13" t="str">
        <x:v>Tomsk Polytechnic University</x:v>
      </x:c>
      <x:c r="E184" s="13" t="str">
        <x:v>Russian Federation</x:v>
      </x:c>
      <x:c r="F184" s="13" t="str">
        <x:v>Joint Research</x:v>
      </x:c>
      <x:c r="G184" s="11" t="n">
        <x:v>45133.5</x:v>
      </x:c>
      <x:c r="H184" s="11" t="n">
        <x:v>47118.5</x:v>
      </x:c>
      <x:c r="I184" s="7" t="str">
        <x:f>TEXT(G184,"dd mmm yyyy")&amp;" – "&amp;TEXT(H184,"dd mmm yyyy")</x:f>
        <x:v>26 Jul 2023 – 31 Dec 2028</x:v>
      </x:c>
      <x:c r="J184" s="7" t="str">
        <x:f>IF(H184&lt;TODAY(),"Expired","Active")</x:f>
        <x:v>Active</x:v>
      </x:c>
      <x:c r="K184" s="15" t="str">
        <x:v>https://drive.google.com/file/d/1Lp6Xy-Fz4kMwvUFtx2PNoc6iDoh4uB5V/view?usp=drive_link</x:v>
      </x:c>
    </x:row>
    <x:row r="185" ht="42" customHeight="1">
      <x:c r="A185" s="9" t="str">
        <x:v>MOU-2023-028</x:v>
      </x:c>
      <x:c r="B185" s="9" t="str">
        <x:v>MoU_Massey University_New Zealand_2023</x:v>
      </x:c>
      <x:c r="C185" s="7" t="n">
        <x:v>28</x:v>
      </x:c>
      <x:c r="D185" s="13" t="str">
        <x:v>Massey University</x:v>
      </x:c>
      <x:c r="E185" s="13" t="str">
        <x:v>New Zealand</x:v>
      </x:c>
      <x:c r="F185" s="13" t="str">
        <x:v>1) Collaborative research activities in agriculture, animal production, veterinary science, food science and technology, development studies, economics and business
2) Collaborative teaching activities either through staff exchange or distance learning
3) Collaborative applications for third-party funding
4) Participation in seminars or conferences affiliated to Scopus journals and also participation in academic meetings
5) Exchange of publication, academic and laboratory staff
6) Exchange of existing academic and laboratory staff
7) Student mobility abroad programmes
8) Student articulation
9) Postgraduate research internships
10) Government scholarship programmes
11) Other collaborative activities by agreement in writing</x:v>
      </x:c>
      <x:c r="G185" s="11" t="n">
        <x:v>45099.5</x:v>
      </x:c>
      <x:c r="H185" s="11" t="n">
        <x:v>46926.5</x:v>
      </x:c>
      <x:c r="I185" s="7" t="str">
        <x:f>TEXT(G185,"dd mmm yyyy")&amp;" – "&amp;TEXT(H185,"dd mmm yyyy")</x:f>
        <x:v>22 Jun 2023 – 22 Jun 2028</x:v>
      </x:c>
      <x:c r="J185" s="7" t="str">
        <x:f>IF(H185&lt;TODAY(),"Expired","Active")</x:f>
        <x:v>Active</x:v>
      </x:c>
      <x:c r="K185" s="15" t="str">
        <x:v>https://drive.google.com/file/d/1P3-GtIeCUze6r4eLr66oRFzcUnPHeoEE/view?usp=drive_link</x:v>
      </x:c>
    </x:row>
    <x:row r="186" ht="42" customHeight="1">
      <x:c r="A186" s="9" t="str">
        <x:v>MOU-2023-029</x:v>
      </x:c>
      <x:c r="B186" s="9" t="str">
        <x:v>MoU_Tashkent State University of Economics_Uzbekistan_2023</x:v>
      </x:c>
      <x:c r="C186" s="7" t="n">
        <x:v>29</x:v>
      </x:c>
      <x:c r="D186" s="13" t="str">
        <x:v>Tashkent State University of Economics</x:v>
      </x:c>
      <x:c r="E186" s="13" t="str">
        <x:v>Uzbekistan</x:v>
      </x:c>
      <x:c r="F186" s="13" t="str">
        <x:v>1) Exchange visit of academic personnel (faculty and staff) between two parties
2) Student exchange in visiting research programs as well as the internship program
3) Joint research as well as other academic activities
4) Joint activities as well as other activities which related to the industry</x:v>
      </x:c>
      <x:c r="G186" s="11" t="n">
        <x:v>45098.5</x:v>
      </x:c>
      <x:c r="H186" s="11" t="n">
        <x:v>45464.5</x:v>
      </x:c>
      <x:c r="I186" s="7" t="str">
        <x:f>TEXT(G186,"dd mmm yyyy")&amp;" – "&amp;TEXT(H186,"dd mmm yyyy")</x:f>
        <x:v>21 Jun 2023 – 21 Jun 2024</x:v>
      </x:c>
      <x:c r="J186" s="7" t="str">
        <x:f>IF(H186&lt;TODAY(),"Expired","Active")</x:f>
        <x:v>Expired</x:v>
      </x:c>
      <x:c r="K186" s="15" t="str">
        <x:v>https://drive.google.com/file/d/1e_58Uv5TZWpwPFKNxtEY1aPk9S6o45Es/view?usp=drive_link</x:v>
      </x:c>
    </x:row>
    <x:row r="187" ht="42" customHeight="1">
      <x:c r="A187" s="9" t="str">
        <x:v>MOU-2023-030</x:v>
      </x:c>
      <x:c r="B187" s="9" t="str">
        <x:v>MoU_Embassy of the Republic of Indonesia in Tokyo Japan_Japan_2023</x:v>
      </x:c>
      <x:c r="C187" s="7" t="n">
        <x:v>30</x:v>
      </x:c>
      <x:c r="D187" s="13" t="str">
        <x:v>Embassy of the Republic of Indonesia in Tokyo Japan</x:v>
      </x:c>
      <x:c r="E187" s="13" t="str">
        <x:v>Japan</x:v>
      </x:c>
      <x:c r="F187" s="13" t="str">
        <x:v>a) Joint Research
b) Adjunct Professor
c) Staff Exchange
d) Student Exchange
e) Joint Publication and International Faculty Mobility</x:v>
      </x:c>
      <x:c r="G187" s="11" t="n">
        <x:v>45078.5</x:v>
      </x:c>
      <x:c r="H187" s="11" t="n">
        <x:v>46905.5</x:v>
      </x:c>
      <x:c r="I187" s="7" t="str">
        <x:f>TEXT(G187,"dd mmm yyyy")&amp;" – "&amp;TEXT(H187,"dd mmm yyyy")</x:f>
        <x:v>01 Jun 2023 – 01 Jun 2028</x:v>
      </x:c>
      <x:c r="J187" s="7" t="str">
        <x:f>IF(H187&lt;TODAY(),"Expired","Active")</x:f>
        <x:v>Active</x:v>
      </x:c>
      <x:c r="K187" s="15" t="str">
        <x:v>https://drive.google.com/file/d/1nW8rFphpfktu2Oqmxtl-49onRTbT7McX/view?usp=drive_link</x:v>
      </x:c>
    </x:row>
    <x:row r="188" ht="42" customHeight="1">
      <x:c r="A188" s="9" t="str">
        <x:v>MOU-2023-031</x:v>
      </x:c>
      <x:c r="B188" s="9" t="str">
        <x:v>MoU_Nagoya City University_Japan_2023</x:v>
      </x:c>
      <x:c r="C188" s="7" t="n">
        <x:v>32</x:v>
      </x:c>
      <x:c r="D188" s="13" t="str">
        <x:v>Nagoya City University</x:v>
      </x:c>
      <x:c r="E188" s="13" t="str">
        <x:v>Japan</x:v>
      </x:c>
      <x:c r="F188" s="13" t="str">
        <x:v>- Student Exchange
- Establishment of the 'Contact Points'at Both Universities</x:v>
      </x:c>
      <x:c r="G188" s="11" t="n">
        <x:v>45071.5</x:v>
      </x:c>
      <x:c r="H188" s="11" t="n">
        <x:v>46898.5</x:v>
      </x:c>
      <x:c r="I188" s="7" t="str">
        <x:f>TEXT(G188,"dd mmm yyyy")&amp;" – "&amp;TEXT(H188,"dd mmm yyyy")</x:f>
        <x:v>25 May 2023 – 25 May 2028</x:v>
      </x:c>
      <x:c r="J188" s="7" t="str">
        <x:f>IF(H188&lt;TODAY(),"Expired","Active")</x:f>
        <x:v>Active</x:v>
      </x:c>
      <x:c r="K188" s="15" t="str">
        <x:v>https://drive.google.com/file/d/1jRATh8nxVWIRB9F0AwbhxTicwihdlsYd/view?usp=drive_link</x:v>
      </x:c>
    </x:row>
    <x:row r="189" ht="42" customHeight="1">
      <x:c r="A189" s="9" t="str">
        <x:v>MOU-2023-032</x:v>
      </x:c>
      <x:c r="B189" s="9" t="str">
        <x:v>MoU_Minghsin University of Science and Technology_Taiwan_2023</x:v>
      </x:c>
      <x:c r="C189" s="7" t="n">
        <x:v>31</x:v>
      </x:c>
      <x:c r="D189" s="13" t="str">
        <x:v>Minghsin University of Science and Technology</x:v>
      </x:c>
      <x:c r="E189" s="13" t="str">
        <x:v>Taiwan</x:v>
      </x:c>
      <x:c r="F189" s="13" t="str">
        <x:v>1) The two institutions will encourage and develop cooperation and exchanges in
the field of education on the basis of equaliry mutual benefit, and reciprocity.
2) Encourage mutually beneficial educational activities involving researchers,
scholars, faculty members, teachers, students, educational administrators, and
other specialists to lecture, teach, learning, conduct research, and develop
cooperative programs.</x:v>
      </x:c>
      <x:c r="G189" s="11" t="n">
        <x:v>45068.5</x:v>
      </x:c>
      <x:c r="H189" s="11" t="n">
        <x:v>46164.5</x:v>
      </x:c>
      <x:c r="I189" s="7" t="str">
        <x:f>TEXT(G189,"dd mmm yyyy")&amp;" – "&amp;TEXT(H189,"dd mmm yyyy")</x:f>
        <x:v>22 May 2023 – 22 May 2026</x:v>
      </x:c>
      <x:c r="J189" s="7" t="str">
        <x:f>IF(H189&lt;TODAY(),"Expired","Active")</x:f>
        <x:v>Expired</x:v>
      </x:c>
      <x:c r="K189" s="15" t="str">
        <x:v>https://drive.google.com/file/d/1ur_3BXY-CSI2tH2Sp7xedAfyvbpR1ppc/view?usp=drive_link</x:v>
      </x:c>
    </x:row>
    <x:row r="190" ht="42" customHeight="1">
      <x:c r="A190" s="9" t="str">
        <x:v>MOU-2023-033</x:v>
      </x:c>
      <x:c r="B190" s="9" t="str">
        <x:v>MoU_Universiti Kebangsaan Malaysia_Malaysia_2023</x:v>
      </x:c>
      <x:c r="C190" s="7" t="n">
        <x:v>33</x:v>
      </x:c>
      <x:c r="D190" s="13" t="str">
        <x:v>Universiti Kebangsaan Malaysia</x:v>
      </x:c>
      <x:c r="E190" s="13" t="str">
        <x:v>Malaysia</x:v>
      </x:c>
      <x:c r="F190" s="13" t="str">
        <x:v>a) Joint research activities and academic programs
b) Attachment for academic members and students for internships; and to allow for exchange or use of facilities which may be essential for such purposes according to terms and rules applicable;
c) Joint research and co-hosting conference and seminars;
d) Publications of books and journals;
e) Collaborate in the field of research and become a joint supervisor for both universities;
f) Holding physical and virtual teaching activities involving lecturers at both universities; and
g) Any other areas co-operation to be mutually agreed upon by the Parties (if any)</x:v>
      </x:c>
      <x:c r="G190" s="11" t="n">
        <x:v>45064.5</x:v>
      </x:c>
      <x:c r="H190" s="11" t="n">
        <x:v>45518.5</x:v>
      </x:c>
      <x:c r="I190" s="7" t="str">
        <x:f>TEXT(G190,"dd mmm yyyy")&amp;" – "&amp;TEXT(H190,"dd mmm yyyy")</x:f>
        <x:v>18 May 2023 – 14 Aug 2024</x:v>
      </x:c>
      <x:c r="J190" s="7" t="str">
        <x:f>IF(H190&lt;TODAY(),"Expired","Active")</x:f>
        <x:v>Expired</x:v>
      </x:c>
      <x:c r="K190" s="15" t="str">
        <x:v>https://drive.google.com/file/d/1Un1kHfhUXnTYCs_2GrFRlrwRHHUwTy4V/view?usp=drive_link</x:v>
      </x:c>
    </x:row>
    <x:row r="191" ht="42" customHeight="1">
      <x:c r="A191" s="9" t="str">
        <x:v>MOU-2023-034</x:v>
      </x:c>
      <x:c r="B191" s="9" t="str">
        <x:v>MoU_University of Nottingham_United Kingdom_2023</x:v>
      </x:c>
      <x:c r="C191" s="7" t="n">
        <x:v>34</x:v>
      </x:c>
      <x:c r="D191" s="13" t="str">
        <x:v>University of Nottingham</x:v>
      </x:c>
      <x:c r="E191" s="13" t="str">
        <x:v>United Kingdom</x:v>
      </x:c>
      <x:c r="F191"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191" s="11" t="n">
        <x:v>45033.5</x:v>
      </x:c>
      <x:c r="H191" s="11" t="n">
        <x:v>46860.5</x:v>
      </x:c>
      <x:c r="I191" s="7" t="str">
        <x:f>TEXT(G191,"dd mmm yyyy")&amp;" – "&amp;TEXT(H191,"dd mmm yyyy")</x:f>
        <x:v>17 Apr 2023 – 17 Apr 2028</x:v>
      </x:c>
      <x:c r="J191" s="7" t="str">
        <x:f>IF(H191&lt;TODAY(),"Expired","Active")</x:f>
        <x:v>Active</x:v>
      </x:c>
      <x:c r="K191" s="15" t="str">
        <x:v>https://drive.google.com/file/d/1z730QvVdiuDst_4XH_fetFBv_xj6YICq/view?usp=drive_link</x:v>
      </x:c>
    </x:row>
    <x:row r="192" ht="42" customHeight="1">
      <x:c r="A192" s="9" t="str">
        <x:v>MOU-2023-035</x:v>
      </x:c>
      <x:c r="B192" s="9" t="str">
        <x:v>MoU_The Center for Language Education and Cooperation-(CLEC), Tianjin Foreign Studies University (TFSU)_China_2023</x:v>
      </x:c>
      <x:c r="C192" s="7" t="n">
        <x:v>35</x:v>
      </x:c>
      <x:c r="D192" s="13" t="str">
        <x:v>The Center for Language Education and Cooperation-(CLEC), Tianjin Foreign Studies University (TFSU)</x:v>
      </x:c>
      <x:c r="E192" s="13" t="str">
        <x:v>China</x:v>
      </x:c>
      <x:c r="F192" s="13" t="str">
        <x:v>Joint Undergraduate Program in Chinese International Education</x:v>
      </x:c>
      <x:c r="G192" s="11" t="n">
        <x:v>45014.5</x:v>
      </x:c>
      <x:c r="H192" s="11" t="n">
        <x:v>46841.5</x:v>
      </x:c>
      <x:c r="I192" s="7" t="str">
        <x:f>TEXT(G192,"dd mmm yyyy")&amp;" – "&amp;TEXT(H192,"dd mmm yyyy")</x:f>
        <x:v>29 Mar 2023 – 29 Mar 2028</x:v>
      </x:c>
      <x:c r="J192" s="7" t="str">
        <x:f>IF(H192&lt;TODAY(),"Expired","Active")</x:f>
        <x:v>Active</x:v>
      </x:c>
      <x:c r="K192" s="15" t="str">
        <x:v>https://drive.google.com/file/d/1SY9rR5VjpFDUXogfu34a6TEepCgrn7u5/view?usp=drive_link</x:v>
      </x:c>
    </x:row>
    <x:row r="193" ht="42" customHeight="1">
      <x:c r="A193" s="9" t="str">
        <x:v>MOU-2023-036</x:v>
      </x:c>
      <x:c r="B193" s="9" t="str">
        <x:v>MoU_Takushoku University_Japan_2023</x:v>
      </x:c>
      <x:c r="C193" s="7" t="n">
        <x:v>39</x:v>
      </x:c>
      <x:c r="D193" s="13" t="str">
        <x:v>Takushoku University</x:v>
      </x:c>
      <x:c r="E193" s="13" t="str">
        <x:v>Japan</x:v>
      </x:c>
      <x:c r="F193" s="13" t="str">
        <x:v>a) Academic exchange 
b) Seminars, conferences and workshops
c) Academic visits</x:v>
      </x:c>
      <x:c r="G193" s="11" t="n">
        <x:v>45008.5</x:v>
      </x:c>
      <x:c r="H193" s="11" t="n">
        <x:v>46835.5</x:v>
      </x:c>
      <x:c r="I193" s="7" t="str">
        <x:f>TEXT(G193,"dd mmm yyyy")&amp;" – "&amp;TEXT(H193,"dd mmm yyyy")</x:f>
        <x:v>23 Mar 2023 – 23 Mar 2028</x:v>
      </x:c>
      <x:c r="J193" s="7" t="str">
        <x:f>IF(H193&lt;TODAY(),"Expired","Active")</x:f>
        <x:v>Active</x:v>
      </x:c>
      <x:c r="K193" s="15" t="str">
        <x:v>https://drive.google.com/file/d/15Ck1_qck7eUQIujU-F7db9m9_BUkmYn-/view?usp=drive_link</x:v>
      </x:c>
    </x:row>
    <x:row r="194" ht="42" customHeight="1">
      <x:c r="A194" s="9" t="str">
        <x:v>MOU-2023-037</x:v>
      </x:c>
      <x:c r="B194" s="9" t="str">
        <x:v>MoU_Universiti Sains Islam Malaysia (USIM)_Malaysia_2023</x:v>
      </x:c>
      <x:c r="C194" s="7" t="n">
        <x:v>36</x:v>
      </x:c>
      <x:c r="D194" s="13" t="str">
        <x:v>Universiti Sains Islam Malaysia (USIM)</x:v>
      </x:c>
      <x:c r="E194" s="13" t="str">
        <x:v>Malaysia</x:v>
      </x:c>
      <x:c r="F194" s="13" t="str">
        <x:v>a) The reciprocal exchange of research and teaching staff, and of other staff members
b) Research collaboration in fields with mutual interests between research staff, departments, and schools of both institutions
c) The organisation of joint academic and scientific activities, such as courses, conferences, seminars, symposia or lectures
d) The exchange and sharing of teaching and academic materials, publications, references and other pertinent information; and
e) any other projects that shall be mutually identified and agreed by both Parties at a later stage</x:v>
      </x:c>
      <x:c r="G194" s="11" t="n">
        <x:v>45008.5</x:v>
      </x:c>
      <x:c r="H194" s="11" t="n">
        <x:v>45739.5</x:v>
      </x:c>
      <x:c r="I194" s="7" t="str">
        <x:f>TEXT(G194,"dd mmm yyyy")&amp;" – "&amp;TEXT(H194,"dd mmm yyyy")</x:f>
        <x:v>23 Mar 2023 – 23 Mar 2025</x:v>
      </x:c>
      <x:c r="J194" s="7" t="str">
        <x:f>IF(H194&lt;TODAY(),"Expired","Active")</x:f>
        <x:v>Expired</x:v>
      </x:c>
      <x:c r="K194" s="15" t="str">
        <x:v>https://drive.google.com/file/d/10RlP5awrhClzH6_Y9M5o9dh6VQ_JoFbT/view?usp=drive_link</x:v>
      </x:c>
    </x:row>
    <x:row r="195" ht="42" customHeight="1">
      <x:c r="A195" s="9" t="str">
        <x:v>MOU-2023-038</x:v>
      </x:c>
      <x:c r="B195" s="9" t="str">
        <x:v>MoU_Universiti Sains Malaysia_Malaysia_2023</x:v>
      </x:c>
      <x:c r="C195" s="7" t="n">
        <x:v>38</x:v>
      </x:c>
      <x:c r="D195" s="13" t="str">
        <x:v>Universiti Sains Malaysia</x:v>
      </x:c>
      <x:c r="E195" s="13" t="str">
        <x:v>Malaysia</x:v>
      </x:c>
      <x:c r="F195" s="13" t="str">
        <x:v>1) Exchange of students
2) Exchange of academic members and staff; and
3) Exchange of scientific materials, academic publications and scholarly information.</x:v>
      </x:c>
      <x:c r="G195" s="11" t="n">
        <x:v>45008.5</x:v>
      </x:c>
      <x:c r="H195" s="11" t="n">
        <x:v>46104.5</x:v>
      </x:c>
      <x:c r="I195" s="7" t="str">
        <x:f>TEXT(G195,"dd mmm yyyy")&amp;" – "&amp;TEXT(H195,"dd mmm yyyy")</x:f>
        <x:v>23 Mar 2023 – 23 Mar 2026</x:v>
      </x:c>
      <x:c r="J195" s="7" t="str">
        <x:f>IF(H195&lt;TODAY(),"Expired","Active")</x:f>
        <x:v>Expired</x:v>
      </x:c>
      <x:c r="K195" s="15" t="str">
        <x:v>https://drive.google.com/file/d/1qoPO5sFtkX7Feqe7iJAFiEniz_KiBkwE/view?usp=drive_link</x:v>
      </x:c>
    </x:row>
    <x:row r="196" ht="42" customHeight="1">
      <x:c r="A196" s="9" t="str">
        <x:v>MOU-2023-039</x:v>
      </x:c>
      <x:c r="B196" s="9" t="str">
        <x:v>MoU_University of Nyiregyhaza_Hungary_2023</x:v>
      </x:c>
      <x:c r="C196" s="7" t="n">
        <x:v>37</x:v>
      </x:c>
      <x:c r="D196" s="13" t="str">
        <x:v>University of Nyiregyhaza</x:v>
      </x:c>
      <x:c r="E196" s="13" t="str">
        <x:v>Hungary</x:v>
      </x:c>
      <x:c r="F196" s="13" t="str">
        <x:v>a) Student exchange and study abroad programs
b) Establishment of joint degree programs
c) Exchange of academic staff members for the purpose of research, teaching and the presentation of special courses in their fields of specialization</x:v>
      </x:c>
      <x:c r="G196" s="11" t="n">
        <x:v>45008.5</x:v>
      </x:c>
      <x:c r="H196" s="11" t="n">
        <x:v>46835.5</x:v>
      </x:c>
      <x:c r="I196" s="7" t="str">
        <x:f>TEXT(G196,"dd mmm yyyy")&amp;" – "&amp;TEXT(H196,"dd mmm yyyy")</x:f>
        <x:v>23 Mar 2023 – 23 Mar 2028</x:v>
      </x:c>
      <x:c r="J196" s="7" t="str">
        <x:f>IF(H196&lt;TODAY(),"Expired","Active")</x:f>
        <x:v>Active</x:v>
      </x:c>
      <x:c r="K196" s="15" t="str">
        <x:v>https://drive.google.com/file/d/1rLs4WhlABV3E0Te3pY-jGDRnrloeCYkb/view?usp=drive_link</x:v>
      </x:c>
    </x:row>
    <x:row r="197" ht="42" customHeight="1">
      <x:c r="A197" s="9" t="str">
        <x:v>MOU-2023-040</x:v>
      </x:c>
      <x:c r="B197" s="9" t="str">
        <x:v>MoU_Yunnan University_China_2023</x:v>
      </x:c>
      <x:c r="C197" s="7" t="n">
        <x:v>40</x:v>
      </x:c>
      <x:c r="D197" s="13" t="str">
        <x:v>Yunnan University</x:v>
      </x:c>
      <x:c r="E197" s="13" t="str">
        <x:v>China</x:v>
      </x:c>
      <x:c r="F197" s="13" t="str">
        <x:v>1) Exchange of faculty and/or staff;
2) Exchange of graduate and/or undergraduate student;
3) Exchange of scientific material, publication, and information;
4) Exchange of cultural activity
5) Joint conferences and academic program
6) Joint research activity and publication
7) Joint student programs (including joint degree/non-degree programs)</x:v>
      </x:c>
      <x:c r="G197" s="11" t="n">
        <x:v>45008.5</x:v>
      </x:c>
      <x:c r="H197" s="11" t="n">
        <x:v>46835.5</x:v>
      </x:c>
      <x:c r="I197" s="7" t="str">
        <x:f>TEXT(G197,"dd mmm yyyy")&amp;" – "&amp;TEXT(H197,"dd mmm yyyy")</x:f>
        <x:v>23 Mar 2023 – 23 Mar 2028</x:v>
      </x:c>
      <x:c r="J197" s="7" t="str">
        <x:f>IF(H197&lt;TODAY(),"Expired","Active")</x:f>
        <x:v>Active</x:v>
      </x:c>
      <x:c r="K197" s="15" t="str">
        <x:v>https://drive.google.com/file/d/1dkYA4fMdNtgbslZWFMLbITR8qTBM_RF1/view?usp=drive_link</x:v>
      </x:c>
    </x:row>
    <x:row r="198" ht="42" customHeight="1">
      <x:c r="A198" s="9" t="str">
        <x:v>MOU-2023-041</x:v>
      </x:c>
      <x:c r="B198" s="9" t="str">
        <x:v>MoU_Yamaguchi University_Japan_2023</x:v>
      </x:c>
      <x:c r="C198" s="7" t="n">
        <x:v>41</x:v>
      </x:c>
      <x:c r="D198" s="13" t="str">
        <x:v>Yamaguchi University</x:v>
      </x:c>
      <x:c r="E198" s="13" t="str">
        <x:v>Japan</x:v>
      </x:c>
      <x:c r="F198" s="13" t="str">
        <x:v>1) Exchange of faculty and administrative staff members
2) Exchange of undergraduate and graduate students
3) Exchange of academic information and publications
4) Conducting of colloquia, lecture and seminars
5) Cooperation in research and presentation of its results
6) Other forms of cooperation mutually agreed upon by both universities</x:v>
      </x:c>
      <x:c r="G198" s="11" t="n">
        <x:v>45007.5</x:v>
      </x:c>
      <x:c r="H198" s="11" t="n">
        <x:v>46833.5</x:v>
      </x:c>
      <x:c r="I198" s="7" t="str">
        <x:f>TEXT(G198,"dd mmm yyyy")&amp;" – "&amp;TEXT(H198,"dd mmm yyyy")</x:f>
        <x:v>22 Mar 2023 – 21 Mar 2028</x:v>
      </x:c>
      <x:c r="J198" s="7" t="str">
        <x:f>IF(H198&lt;TODAY(),"Expired","Active")</x:f>
        <x:v>Active</x:v>
      </x:c>
      <x:c r="K198" s="15" t="str">
        <x:v>https://drive.google.com/file/d/1Zb_crV0vtYKbs6iGg7qvi0_SoDHAZQm0/view?usp=drive_link</x:v>
      </x:c>
    </x:row>
    <x:row r="199" ht="42" customHeight="1">
      <x:c r="A199" s="9" t="str">
        <x:v>MOU-2023-042</x:v>
      </x:c>
      <x:c r="B199" s="9" t="str">
        <x:v>MoU_University of Queensland_Australia_2023</x:v>
      </x:c>
      <x:c r="C199" s="7" t="n">
        <x:v>42</x:v>
      </x:c>
      <x:c r="D199" s="13" t="str">
        <x:v>University of Queensland</x:v>
      </x:c>
      <x:c r="E199" s="13" t="str">
        <x:v>Australia</x:v>
      </x:c>
      <x:c r="F199" s="13" t="str">
        <x:v>a) Collaborative Research
b) Academic Exchange
c) Various student mobility activities</x:v>
      </x:c>
      <x:c r="G199" s="11" t="n">
        <x:v>44998.5</x:v>
      </x:c>
      <x:c r="H199" s="11" t="n">
        <x:v>46825.5</x:v>
      </x:c>
      <x:c r="I199" s="7" t="str">
        <x:f>TEXT(G199,"dd mmm yyyy")&amp;" – "&amp;TEXT(H199,"dd mmm yyyy")</x:f>
        <x:v>13 Mar 2023 – 13 Mar 2028</x:v>
      </x:c>
      <x:c r="J199" s="7" t="str">
        <x:f>IF(H199&lt;TODAY(),"Expired","Active")</x:f>
        <x:v>Active</x:v>
      </x:c>
      <x:c r="K199" s="15" t="str">
        <x:v>https://drive.google.com/file/d/1YP3tr6UZ_oQMlC-CalA8544gdd4F6mW2/view?usp=drive_link</x:v>
      </x:c>
    </x:row>
    <x:row r="200" ht="42" customHeight="1">
      <x:c r="A200" s="9" t="str">
        <x:v>MOU-2023-043</x:v>
      </x:c>
      <x:c r="B200" s="9" t="str">
        <x:v>MoU_Shijiazhuang Tiedao University_China_2023</x:v>
      </x:c>
      <x:c r="C200" s="7" t="n">
        <x:v>43</x:v>
      </x:c>
      <x:c r="D200" s="13" t="str">
        <x:v>Shijiazhuang Tiedao University</x:v>
      </x:c>
      <x:c r="E200" s="13" t="str">
        <x:v>China</x:v>
      </x:c>
      <x:c r="F200"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200" s="11" t="n">
        <x:v>44978.5</x:v>
      </x:c>
      <x:c r="H200" s="11" t="n">
        <x:v>46804.5</x:v>
      </x:c>
      <x:c r="I200" s="7" t="str">
        <x:f>TEXT(G200,"dd mmm yyyy")&amp;" – "&amp;TEXT(H200,"dd mmm yyyy")</x:f>
        <x:v>21 Feb 2023 – 21 Feb 2028</x:v>
      </x:c>
      <x:c r="J200" s="7" t="str">
        <x:f>IF(H200&lt;TODAY(),"Expired","Active")</x:f>
        <x:v>Active</x:v>
      </x:c>
      <x:c r="K200" s="15" t="str">
        <x:v>https://drive.google.com/file/d/1bT_r53xH1RPVXaCWyGCyoOZp2KLr0YjU/view?usp=drive_link</x:v>
      </x:c>
    </x:row>
    <x:row r="201" ht="42" customHeight="1">
      <x:c r="A201" s="9" t="str">
        <x:v>MOU-2023-044</x:v>
      </x:c>
      <x:c r="B201" s="9" t="str">
        <x:v>MoU_National Taiwan University__2023</x:v>
      </x:c>
      <x:c r="C201" s="7" t="n">
        <x:v>44</x:v>
      </x:c>
      <x:c r="D201" s="13" t="str">
        <x:v>National Taiwan University</x:v>
      </x:c>
      <x:c r="E201" s="13" t="str"/>
      <x:c r="F201" s="13" t="str">
        <x:v>1) Exchanges and visits in the following categories: undergraduate and graduate students, non-teaching and post-graduate fellows, and junior and senior faculty members
2) Exchange information and materials in those fields which are of interest to boht universities
3) Joint conferences and academic programs
4) Joint research activities and publications</x:v>
      </x:c>
      <x:c r="G201" s="11" t="n">
        <x:v>44952.5</x:v>
      </x:c>
      <x:c r="H201" s="11" t="n">
        <x:v>46777.5</x:v>
      </x:c>
      <x:c r="I201" s="7" t="str">
        <x:f>TEXT(G201,"dd mmm yyyy")&amp;" – "&amp;TEXT(H201,"dd mmm yyyy")</x:f>
        <x:v>26 Jan 2023 – 25 Jan 2028</x:v>
      </x:c>
      <x:c r="J201" s="7" t="str">
        <x:f>IF(H201&lt;TODAY(),"Expired","Active")</x:f>
        <x:v>Active</x:v>
      </x:c>
      <x:c r="K201" s="15" t="str">
        <x:v>https://drive.google.com/file/d/1sTHLaa2RSbsUkIw6ZAt0OwPiRAkS5owY/view?usp=drive_link</x:v>
      </x:c>
    </x:row>
    <x:row r="202" ht="42" customHeight="1">
      <x:c r="A202" s="9" t="str">
        <x:v>MOU-2023-045</x:v>
      </x:c>
      <x:c r="B202" s="9" t="str">
        <x:v>MoU_Walailak University_Thailand_2023</x:v>
      </x:c>
      <x:c r="C202" s="7" t="n">
        <x:v>45</x:v>
      </x:c>
      <x:c r="D202" s="13" t="str">
        <x:v>Walailak University</x:v>
      </x:c>
      <x:c r="E202" s="13" t="str">
        <x:v>Thailand</x:v>
      </x:c>
      <x:c r="F202" s="13" t="str">
        <x:v>1) Exchange of scholars, teaching staff and students
2) Facilitation of the study abroad and work experience for students in relevant fields of studies
3) Research, workshops and seminars collaboration
4) Exchange of academic materials, instructional technology, instructional media for learning, scientific publications and other relevant information
5) Sharing each other's website and social media in order to learn each other's updated news and progresses; and
6) Other activities and programs in areas of mutual interest, benefiting both parties.</x:v>
      </x:c>
      <x:c r="G202" s="11" t="n">
        <x:v>44950.5</x:v>
      </x:c>
      <x:c r="H202" s="11" t="n">
        <x:v>46776.5</x:v>
      </x:c>
      <x:c r="I202" s="7" t="str">
        <x:f>TEXT(G202,"dd mmm yyyy")&amp;" – "&amp;TEXT(H202,"dd mmm yyyy")</x:f>
        <x:v>24 Jan 2023 – 24 Jan 2028</x:v>
      </x:c>
      <x:c r="J202" s="7" t="str">
        <x:f>IF(H202&lt;TODAY(),"Expired","Active")</x:f>
        <x:v>Active</x:v>
      </x:c>
      <x:c r="K202" s="15" t="str">
        <x:v>https://drive.google.com/file/d/1MliOquPTPmt8KhPGWuLhFfaO6qr6FSe-/view?usp=drive_link</x:v>
      </x:c>
    </x:row>
    <x:row r="203" ht="42" customHeight="1">
      <x:c r="A203" s="9" t="str">
        <x:v>MOU-2022-001</x:v>
      </x:c>
      <x:c r="B203" s="9" t="str">
        <x:v>MoU_Central Luzon Sate University_Philippines_2022</x:v>
      </x:c>
      <x:c r="C203" s="7" t="n">
        <x:v>1</x:v>
      </x:c>
      <x:c r="D203" s="13" t="str">
        <x:v>Central Luzon Sate University</x:v>
      </x:c>
      <x:c r="E203" s="13" t="str">
        <x:v>Philippines</x:v>
      </x:c>
      <x:c r="F203"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203" s="11" t="n">
        <x:v>44910.5</x:v>
      </x:c>
      <x:c r="H203" s="11" t="n">
        <x:v>46736.5</x:v>
      </x:c>
      <x:c r="I203" s="7" t="str">
        <x:f>TEXT(G203,"dd mmm yyyy")&amp;" – "&amp;TEXT(H203,"dd mmm yyyy")</x:f>
        <x:v>15 Dec 2022 – 15 Dec 2027</x:v>
      </x:c>
      <x:c r="J203" s="7" t="str">
        <x:f>IF(H203&lt;TODAY(),"Expired","Active")</x:f>
        <x:v>Active</x:v>
      </x:c>
      <x:c r="K203" s="15" t="str">
        <x:v>https://drive.google.com/file/d/1OmdsW-2X-01_DtsmwMZk8pYalbvXO4wc/view?usp=drive_link</x:v>
      </x:c>
    </x:row>
    <x:row r="204" ht="42" customHeight="1">
      <x:c r="A204" s="9" t="str">
        <x:v>MOU-2022-002</x:v>
      </x:c>
      <x:c r="B204" s="9" t="str">
        <x:v>MoU_Maejo University_Thailand_2022</x:v>
      </x:c>
      <x:c r="C204" s="7" t="n">
        <x:v>4</x:v>
      </x:c>
      <x:c r="D204" s="13" t="str">
        <x:v>Maejo University</x:v>
      </x:c>
      <x:c r="E204" s="13" t="str">
        <x:v>Thailand</x:v>
      </x:c>
      <x:c r="F204"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204" s="11" t="n">
        <x:v>44891.5</x:v>
      </x:c>
      <x:c r="H204" s="11" t="n">
        <x:v>46717.5</x:v>
      </x:c>
      <x:c r="I204" s="7" t="str">
        <x:f>TEXT(G204,"dd mmm yyyy")&amp;" – "&amp;TEXT(H204,"dd mmm yyyy")</x:f>
        <x:v>26 Nov 2022 – 26 Nov 2027</x:v>
      </x:c>
      <x:c r="J204" s="7" t="str">
        <x:f>IF(H204&lt;TODAY(),"Expired","Active")</x:f>
        <x:v>Active</x:v>
      </x:c>
      <x:c r="K204" s="15" t="str">
        <x:v>https://drive.google.com/file/d/1KkLjfixM2yW84F5B_KVdMiMJK3u4A-1X/view?usp=drive_link</x:v>
      </x:c>
    </x:row>
    <x:row r="205" ht="42" customHeight="1">
      <x:c r="A205" s="9" t="str">
        <x:v>MOU-2022-003</x:v>
      </x:c>
      <x:c r="B205" s="9" t="str">
        <x:v>MoU_University of The Philippines Los Banos_Philippines_2022</x:v>
      </x:c>
      <x:c r="C205" s="7" t="n">
        <x:v>3</x:v>
      </x:c>
      <x:c r="D205" s="13" t="str">
        <x:v>University of The Philippines Los Banos</x:v>
      </x:c>
      <x:c r="E205" s="13" t="str">
        <x:v>Philippines</x:v>
      </x:c>
      <x:c r="F205"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205" s="11" t="n">
        <x:v>44891.5</x:v>
      </x:c>
      <x:c r="H205" s="11" t="n">
        <x:v>46717.5</x:v>
      </x:c>
      <x:c r="I205" s="7" t="str">
        <x:f>TEXT(G205,"dd mmm yyyy")&amp;" – "&amp;TEXT(H205,"dd mmm yyyy")</x:f>
        <x:v>26 Nov 2022 – 26 Nov 2027</x:v>
      </x:c>
      <x:c r="J205" s="7" t="str">
        <x:f>IF(H205&lt;TODAY(),"Expired","Active")</x:f>
        <x:v>Active</x:v>
      </x:c>
      <x:c r="K205" s="15" t="str">
        <x:v>https://drive.google.com/file/d/1z8FTrhv3IO5LnWlX0dHlnz67z1OCncBB/view?usp=drive_link</x:v>
      </x:c>
    </x:row>
    <x:row r="206" ht="42" customHeight="1">
      <x:c r="A206" s="9" t="str">
        <x:v>MOU-2022-004</x:v>
      </x:c>
      <x:c r="B206" s="9" t="str">
        <x:v>MoU_Visayas State University_Philippines_2022</x:v>
      </x:c>
      <x:c r="C206" s="7" t="n">
        <x:v>2</x:v>
      </x:c>
      <x:c r="D206" s="13" t="str">
        <x:v>Visayas State University</x:v>
      </x:c>
      <x:c r="E206" s="13" t="str">
        <x:v>Philippines</x:v>
      </x:c>
      <x:c r="F206"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206" s="11" t="n">
        <x:v>44891.5</x:v>
      </x:c>
      <x:c r="H206" s="11" t="n">
        <x:v>46717.5</x:v>
      </x:c>
      <x:c r="I206" s="7" t="str">
        <x:f>TEXT(G206,"dd mmm yyyy")&amp;" – "&amp;TEXT(H206,"dd mmm yyyy")</x:f>
        <x:v>26 Nov 2022 – 26 Nov 2027</x:v>
      </x:c>
      <x:c r="J206" s="7" t="str">
        <x:f>IF(H206&lt;TODAY(),"Expired","Active")</x:f>
        <x:v>Active</x:v>
      </x:c>
      <x:c r="K206" s="15" t="str">
        <x:v>https://drive.google.com/file/d/1VwJSwdodO8hrwS_1Jrs00fxhie5hASM1/view?usp=drive_link</x:v>
      </x:c>
    </x:row>
    <x:row r="207" ht="42" customHeight="1">
      <x:c r="A207" s="9" t="str">
        <x:v>MOU-2022-005</x:v>
      </x:c>
      <x:c r="B207" s="9" t="str">
        <x:v>MoU_Fatoni University_Thailand_2022</x:v>
      </x:c>
      <x:c r="C207" s="7" t="n">
        <x:v>5</x:v>
      </x:c>
      <x:c r="D207" s="13" t="str">
        <x:v>Fatoni University</x:v>
      </x:c>
      <x:c r="E207" s="13" t="str">
        <x:v>Thailand</x:v>
      </x:c>
      <x:c r="F207" s="13" t="str">
        <x:v>1) Exchange of faculty members and/or staffs
2) Exchange of graduate and/or undergraduate students
3) Exchange of scientific materials, publications, and information
4) Exchange of cultural activities
5) Joint conferences and academic programs
6) Joint research activities and publications</x:v>
      </x:c>
      <x:c r="G207" s="11" t="n">
        <x:v>44883.5</x:v>
      </x:c>
      <x:c r="H207" s="11" t="n">
        <x:v>46709.5</x:v>
      </x:c>
      <x:c r="I207" s="7" t="str">
        <x:f>TEXT(G207,"dd mmm yyyy")&amp;" – "&amp;TEXT(H207,"dd mmm yyyy")</x:f>
        <x:v>18 Nov 2022 – 18 Nov 2027</x:v>
      </x:c>
      <x:c r="J207" s="7" t="str">
        <x:f>IF(H207&lt;TODAY(),"Expired","Active")</x:f>
        <x:v>Active</x:v>
      </x:c>
      <x:c r="K207" s="15" t="str">
        <x:v>https://drive.google.com/file/d/1bvTcBL8r82jKpTWDD4ROk9CyYVHmsEH7/view?usp=drive_link</x:v>
      </x:c>
    </x:row>
    <x:row r="208" ht="42" customHeight="1">
      <x:c r="A208" s="9" t="str">
        <x:v>MOU-2022-006</x:v>
      </x:c>
      <x:c r="B208" s="9" t="str">
        <x:v>MoU_Capiz State University Philippines_Philippines_2022</x:v>
      </x:c>
      <x:c r="C208" s="7" t="n">
        <x:v>6</x:v>
      </x:c>
      <x:c r="D208" s="13" t="str">
        <x:v>Capiz State University Philippines</x:v>
      </x:c>
      <x:c r="E208" s="13" t="str">
        <x:v>Philippines</x:v>
      </x:c>
      <x:c r="F208" s="13" t="str">
        <x:v>1) Exchange of academic and administrative staff and students
2) Exchange of academic materials and publications
3) Cooperation in research
4) Dual-degree programs</x:v>
      </x:c>
      <x:c r="G208" s="11" t="n">
        <x:v>44866.5</x:v>
      </x:c>
      <x:c r="H208" s="11" t="n">
        <x:v>46692.5</x:v>
      </x:c>
      <x:c r="I208" s="7" t="str">
        <x:f>TEXT(G208,"dd mmm yyyy")&amp;" – "&amp;TEXT(H208,"dd mmm yyyy")</x:f>
        <x:v>01 Nov 2022 – 01 Nov 2027</x:v>
      </x:c>
      <x:c r="J208" s="7" t="str">
        <x:f>IF(H208&lt;TODAY(),"Expired","Active")</x:f>
        <x:v>Active</x:v>
      </x:c>
      <x:c r="K208" s="15" t="str">
        <x:v>https://drive.google.com/file/d/150fJZe6Lkpm1YEYNXE4BqGWHSDEYM-aY/view?usp=drive_link</x:v>
      </x:c>
    </x:row>
    <x:row r="209" ht="42" customHeight="1">
      <x:c r="A209" s="9" t="str">
        <x:v>MOU-2022-007</x:v>
      </x:c>
      <x:c r="B209" s="9" t="str">
        <x:v>MoU_Universidade Oriental Timor Lorosa’e_Timor-Leste_2022</x:v>
      </x:c>
      <x:c r="C209" s="7" t="n">
        <x:v>8</x:v>
      </x:c>
      <x:c r="D209" s="13" t="str">
        <x:v>Universidade Oriental Timor Lorosa’e</x:v>
      </x:c>
      <x:c r="E209" s="13" t="str">
        <x:v>Timor-Leste</x:v>
      </x:c>
      <x:c r="F209" s="13" t="str">
        <x:v>a. UNITAL Lecturers Program Post-Graduate to the Brawijaya University
b. Academic mobility programs
c. Organizing conferences and seminars together
d. Staff exchange program and visiting professor program
e. Student exchange program
f. Lecturer exchange program
g. Short-term study visits and training programs for students and staff
h. Joint Research
i. UNITAL lecturer studying in Brawijaya University while teaching there to gain teaching experience
j. Brawijaya University lecturers teach UNITAL students, both virtual and face-to-face teaching
k. and potential other forms of cooperation that are agreed upon</x:v>
      </x:c>
      <x:c r="G209" s="11" t="n">
        <x:v>44858.5</x:v>
      </x:c>
      <x:c r="H209" s="11" t="n">
        <x:v>46684.5</x:v>
      </x:c>
      <x:c r="I209" s="7" t="str">
        <x:f>TEXT(G209,"dd mmm yyyy")&amp;" – "&amp;TEXT(H209,"dd mmm yyyy")</x:f>
        <x:v>24 Oct 2022 – 24 Oct 2027</x:v>
      </x:c>
      <x:c r="J209" s="7" t="str">
        <x:f>IF(H209&lt;TODAY(),"Expired","Active")</x:f>
        <x:v>Active</x:v>
      </x:c>
      <x:c r="K209" s="15" t="str">
        <x:v>https://drive.google.com/file/d/1hiw3K8gM2FiXWTr-v_pJmLC8n3whIDdP/view?usp=drive_link</x:v>
      </x:c>
    </x:row>
    <x:row r="210" ht="42" customHeight="1">
      <x:c r="A210" s="9" t="str">
        <x:v>MOU-2022-008</x:v>
      </x:c>
      <x:c r="B210" s="9" t="str">
        <x:v>MoU_Universite Polytechnique Hauts-de-France (UPHF)_France_2022</x:v>
      </x:c>
      <x:c r="C210" s="7" t="n">
        <x:v>7</x:v>
      </x:c>
      <x:c r="D210" s="13" t="str">
        <x:v>Universite Polytechnique Hauts-de-France (UPHF)</x:v>
      </x:c>
      <x:c r="E210" s="13" t="str">
        <x:v>France</x:v>
      </x:c>
      <x:c r="F210" s="13" t="str">
        <x:v>a) taking part in joint research projects, joint organisation of scientilic events (study days, seminars, symposiums),
b) exchange of information, documents and scientific publications,
c) joint publications,
d) exchange of staff, in particular teachers (visitor teacher programme, research in host university),
e) staff and student exchange (welcome of students from the bachelor's degree to PhD degree),
f) supervision of students in PhD degree (co-tutorage and/or co-supervision of research works).</x:v>
      </x:c>
      <x:c r="G210" s="11" t="n">
        <x:v>44858.5</x:v>
      </x:c>
      <x:c r="H210" s="11" t="n">
        <x:v>46684.5</x:v>
      </x:c>
      <x:c r="I210" s="7" t="str">
        <x:f>TEXT(G210,"dd mmm yyyy")&amp;" – "&amp;TEXT(H210,"dd mmm yyyy")</x:f>
        <x:v>24 Oct 2022 – 24 Oct 2027</x:v>
      </x:c>
      <x:c r="J210" s="7" t="str">
        <x:f>IF(H210&lt;TODAY(),"Expired","Active")</x:f>
        <x:v>Active</x:v>
      </x:c>
      <x:c r="K210" s="15" t="str">
        <x:v>https://drive.google.com/file/d/1Vn_m1YHSWUbwSfEKVvg2CA66wkxrcbnw/view?usp=drive_link</x:v>
      </x:c>
    </x:row>
    <x:row r="211" ht="42" customHeight="1">
      <x:c r="A211" s="9" t="str">
        <x:v>MOU-2022-009</x:v>
      </x:c>
      <x:c r="B211" s="9" t="str">
        <x:v>MoU_Kalinga Institute of Industrial Technology Deemed to be University_India_2022</x:v>
      </x:c>
      <x:c r="C211" s="7" t="n">
        <x:v>10</x:v>
      </x:c>
      <x:c r="D211" s="13" t="str">
        <x:v>Kalinga Institute of Industrial Technology Deemed to be University</x:v>
      </x:c>
      <x:c r="E211" s="13" t="str">
        <x:v>India</x:v>
      </x:c>
      <x:c r="F211" s="13" t="str">
        <x:v>(1) Exchange of students
(2) Exchange of faculty, staffs and researchers
(3) Exchange of academic information and publications
(4) Joint research activities
(5) Summer school/Winter school/ short term program participation
(6) Joint organizers of international research conferences
(7) Other exchanges of academic and cultural nature agreed upon by both parties</x:v>
      </x:c>
      <x:c r="G211" s="11" t="n">
        <x:v>44853.5</x:v>
      </x:c>
      <x:c r="H211" s="11" t="n">
        <x:v>46679.5</x:v>
      </x:c>
      <x:c r="I211" s="7" t="str">
        <x:f>TEXT(G211,"dd mmm yyyy")&amp;" – "&amp;TEXT(H211,"dd mmm yyyy")</x:f>
        <x:v>19 Oct 2022 – 19 Oct 2027</x:v>
      </x:c>
      <x:c r="J211" s="7" t="str">
        <x:f>IF(H211&lt;TODAY(),"Expired","Active")</x:f>
        <x:v>Active</x:v>
      </x:c>
      <x:c r="K211" s="15" t="str">
        <x:v>https://drive.google.com/file/d/1N0LAowId5DenCiqSFiMJ4l1dY3QH8ohr/view?usp=sharing</x:v>
      </x:c>
    </x:row>
    <x:row r="212" ht="42" customHeight="1">
      <x:c r="A212" s="9" t="str">
        <x:v>MOU-2022-010</x:v>
      </x:c>
      <x:c r="B212" s="9" t="str">
        <x:v>MoU_Universidade Nacional Timor Lorosa'e_Timor-Leste_2022</x:v>
      </x:c>
      <x:c r="C212" s="7" t="n">
        <x:v>9</x:v>
      </x:c>
      <x:c r="D212" s="13" t="str">
        <x:v>Universidade Nacional Timor Lorosa'e</x:v>
      </x:c>
      <x:c r="E212" s="13" t="str">
        <x:v>Timor-Leste</x:v>
      </x:c>
      <x:c r="F212" s="13" t="str">
        <x:v>1) Exchange of faculty and/or staff;
2) Exchange of graduate and/or undergraduate student;
3) Exchange of scientific material, publication, and information;
4) Exchange of cultural activity;
5) Joint conferences and academic program;
6) Joint research activity and publication.</x:v>
      </x:c>
      <x:c r="G212" s="11" t="n">
        <x:v>44853.5</x:v>
      </x:c>
      <x:c r="H212" s="11" t="n">
        <x:v>46679.5</x:v>
      </x:c>
      <x:c r="I212" s="7" t="str">
        <x:f>TEXT(G212,"dd mmm yyyy")&amp;" – "&amp;TEXT(H212,"dd mmm yyyy")</x:f>
        <x:v>19 Oct 2022 – 19 Oct 2027</x:v>
      </x:c>
      <x:c r="J212" s="7" t="str">
        <x:f>IF(H212&lt;TODAY(),"Expired","Active")</x:f>
        <x:v>Active</x:v>
      </x:c>
      <x:c r="K212" s="15" t="str">
        <x:v>https://drive.google.com/file/d/1-m80c3QFjKrb5E5nJ2aDhAElSachbqJh/view?usp=drive_link</x:v>
      </x:c>
    </x:row>
    <x:row r="213" ht="42" customHeight="1">
      <x:c r="A213" s="9" t="str">
        <x:v>MOU-2022-011</x:v>
      </x:c>
      <x:c r="B213" s="9" t="str">
        <x:v>MoU_Prince of Songkla University_Thailand_2022</x:v>
      </x:c>
      <x:c r="C213" s="7" t="n">
        <x:v>11</x:v>
      </x:c>
      <x:c r="D213" s="13" t="str">
        <x:v>Prince of Songkla University</x:v>
      </x:c>
      <x:c r="E213" s="13" t="str">
        <x:v>Thailand</x:v>
      </x:c>
      <x:c r="F213" s="13" t="str">
        <x:v>a) Academic
b) Research
c) Outreach program or community service and
d) Any other areas of cooperation to be mutually agreed upon by the parties</x:v>
      </x:c>
      <x:c r="G213" s="11" t="n">
        <x:v>44813.5</x:v>
      </x:c>
      <x:c r="H213" s="11" t="n">
        <x:v>46639.5</x:v>
      </x:c>
      <x:c r="I213" s="7" t="str">
        <x:f>TEXT(G213,"dd mmm yyyy")&amp;" – "&amp;TEXT(H213,"dd mmm yyyy")</x:f>
        <x:v>09 Sep 2022 – 09 Sep 2027</x:v>
      </x:c>
      <x:c r="J213" s="7" t="str">
        <x:f>IF(H213&lt;TODAY(),"Expired","Active")</x:f>
        <x:v>Active</x:v>
      </x:c>
      <x:c r="K213" s="15" t="str">
        <x:v>https://drive.google.com/file/d/1h8s0dmZSgnxGV7B23Pq7-6MASQvIdOET/view?usp=drive_link</x:v>
      </x:c>
    </x:row>
    <x:row r="214" ht="42" customHeight="1">
      <x:c r="A214" s="9" t="str">
        <x:v>MOU-2022-012</x:v>
      </x:c>
      <x:c r="B214" s="9" t="str">
        <x:v>MoU_Arterial Research and Education Network in Asia-Pacific (ARENA PAC)_Japan_2022</x:v>
      </x:c>
      <x:c r="C214" s="7" t="n">
        <x:v>12</x:v>
      </x:c>
      <x:c r="D214" s="13" t="str">
        <x:v>Arterial Research and Education Network in Asia-Pacific (ARENA PAC)</x:v>
      </x:c>
      <x:c r="E214" s="13" t="str">
        <x:v>Japan</x:v>
      </x:c>
      <x:c r="F214" s="13" t="str">
        <x:v>Research and Education Network Collaboration</x:v>
      </x:c>
      <x:c r="G214" s="11" t="n">
        <x:v>44804.5</x:v>
      </x:c>
      <x:c r="H214" s="11" t="n">
        <x:v>46630.5</x:v>
      </x:c>
      <x:c r="I214" s="7" t="str">
        <x:f>TEXT(G214,"dd mmm yyyy")&amp;" – "&amp;TEXT(H214,"dd mmm yyyy")</x:f>
        <x:v>31 Aug 2022 – 31 Aug 2027</x:v>
      </x:c>
      <x:c r="J214" s="7" t="str">
        <x:f>IF(H214&lt;TODAY(),"Expired","Active")</x:f>
        <x:v>Active</x:v>
      </x:c>
      <x:c r="K214" s="15" t="str">
        <x:v>https://drive.google.com/file/d/1Tegc8IKcqADozRkTFQdA-Aszhvu-8cQb/view?usp=drive_link</x:v>
      </x:c>
    </x:row>
    <x:row r="215" ht="42" customHeight="1">
      <x:c r="A215" s="9" t="str">
        <x:v>MOU-2022-013</x:v>
      </x:c>
      <x:c r="B215" s="9" t="str">
        <x:v>MoU_Nicolaus Copernicus University_Poland_2022</x:v>
      </x:c>
      <x:c r="C215" s="7" t="n">
        <x:v>13</x:v>
      </x:c>
      <x:c r="D215" s="13" t="str">
        <x:v>Nicolaus Copernicus University</x:v>
      </x:c>
      <x:c r="E215" s="13" t="str">
        <x:v>Poland</x:v>
      </x:c>
      <x:c r="F215" s="13" t="str">
        <x:v>1) conducting joint research in the fields of interest to both Parties;
2) exchange of expertise between academic and research staff;
3) exchange of science publications, academic scripts, textbooks and literature;
4) exchange of academic and research staffand students;
5) organisation of joint scientific activities;
6) any other activity which may be incorporated into this memorandum in the form of an annex hereto.</x:v>
      </x:c>
      <x:c r="G215" s="11" t="n">
        <x:v>44802.5</x:v>
      </x:c>
      <x:c r="H215" s="11" t="n">
        <x:v>46627.5</x:v>
      </x:c>
      <x:c r="I215" s="7" t="str">
        <x:f>TEXT(G215,"dd mmm yyyy")&amp;" – "&amp;TEXT(H215,"dd mmm yyyy")</x:f>
        <x:v>29 Aug 2022 – 28 Aug 2027</x:v>
      </x:c>
      <x:c r="J215" s="7" t="str">
        <x:f>IF(H215&lt;TODAY(),"Expired","Active")</x:f>
        <x:v>Active</x:v>
      </x:c>
      <x:c r="K215" s="15" t="str">
        <x:v>https://drive.google.com/file/d/1O6nysiQIY61wGGOtOfuKvseSNfhB8e-F/view?usp=drive_link</x:v>
      </x:c>
    </x:row>
    <x:row r="216" ht="42" customHeight="1">
      <x:c r="A216" s="9" t="str">
        <x:v>MOU-2022-014</x:v>
      </x:c>
      <x:c r="B216" s="9" t="str">
        <x:v>MoU_GLA University, Mathura_India_2022</x:v>
      </x:c>
      <x:c r="C216" s="7" t="n">
        <x:v>14</x:v>
      </x:c>
      <x:c r="D216" s="13" t="str">
        <x:v>GLA University, Mathura</x:v>
      </x:c>
      <x:c r="E216" s="13" t="str">
        <x:v>India</x:v>
      </x:c>
      <x:c r="F216" s="13" t="str">
        <x:v>1) Exchange of faculty, and research scholars;
2) Exchange of students;
3) Joint research activities and lectures;
4) Participation in seminars and academic meetings;
5) Exchange of published academic materials and other information;
6) Special short-term academic programs.</x:v>
      </x:c>
      <x:c r="G216" s="11" t="n">
        <x:v>44796.5</x:v>
      </x:c>
      <x:c r="H216" s="11" t="n">
        <x:v>46622.5</x:v>
      </x:c>
      <x:c r="I216" s="7" t="str">
        <x:f>TEXT(G216,"dd mmm yyyy")&amp;" – "&amp;TEXT(H216,"dd mmm yyyy")</x:f>
        <x:v>23 Aug 2022 – 23 Aug 2027</x:v>
      </x:c>
      <x:c r="J216" s="7" t="str">
        <x:f>IF(H216&lt;TODAY(),"Expired","Active")</x:f>
        <x:v>Active</x:v>
      </x:c>
      <x:c r="K216" s="15" t="str">
        <x:v>https://drive.google.com/file/d/1bdYgVE9WV4Bt-lOqPaM-VA26siTQocAe/view?usp=drive_link</x:v>
      </x:c>
    </x:row>
    <x:row r="217" ht="42" customHeight="1">
      <x:c r="A217" s="9" t="str">
        <x:v>MOU-2022-015</x:v>
      </x:c>
      <x:c r="B217" s="9" t="str">
        <x:v>MoU_Maria Curie Sklodowska University_Poland_2022</x:v>
      </x:c>
      <x:c r="C217" s="7" t="n">
        <x:v>15</x:v>
      </x:c>
      <x:c r="D217" s="13" t="str">
        <x:v>Maria Curie Sklodowska University</x:v>
      </x:c>
      <x:c r="E217" s="13" t="str">
        <x:v>Poland</x:v>
      </x:c>
      <x:c r="F217" s="13" t="str">
        <x:v>exchange of faculty and or staff exchange of graduate and or undergraduate student exchange of scientific material publication and information exchange of cultural activity joint conferences and academic program joint research activity and publication</x:v>
      </x:c>
      <x:c r="G217" s="11" t="n">
        <x:v>44795.5</x:v>
      </x:c>
      <x:c r="H217" s="11" t="n">
        <x:v>46621.5</x:v>
      </x:c>
      <x:c r="I217" s="7" t="str">
        <x:f>TEXT(G217,"dd mmm yyyy")&amp;" – "&amp;TEXT(H217,"dd mmm yyyy")</x:f>
        <x:v>22 Aug 2022 – 22 Aug 2027</x:v>
      </x:c>
      <x:c r="J217" s="7" t="str">
        <x:f>IF(H217&lt;TODAY(),"Expired","Active")</x:f>
        <x:v>Active</x:v>
      </x:c>
      <x:c r="K217" s="15" t="str">
        <x:v>https://drive.google.com/file/d/1fQ4Mb1bI5jx8I41v_zLgVgMYKeLYxryB/view?usp=drive_link</x:v>
      </x:c>
    </x:row>
    <x:row r="218" ht="42" customHeight="1">
      <x:c r="A218" s="9" t="str">
        <x:v>MOU-2022-016</x:v>
      </x:c>
      <x:c r="B218" s="9" t="str">
        <x:v>MoU_Universiti Sains Malaysia_Malaysia_2022</x:v>
      </x:c>
      <x:c r="C218" s="7" t="n">
        <x:v>16</x:v>
      </x:c>
      <x:c r="D218" s="13" t="str">
        <x:v>Universiti Sains Malaysia</x:v>
      </x:c>
      <x:c r="E218" s="13" t="str">
        <x:v>Malaysia</x:v>
      </x:c>
      <x:c r="F218" s="13" t="str">
        <x:v>a) Joint research, publication and development activities
b) Academic visits that include short term visits of faculties from both institutions including visiting lecturers, external examiners exchange, library research or visits (both for faculties and student )
c) Attachment for academic members and student for internship, and to allow them to exchange or use facilities which may be essential for that purposes
d) Joint participation in the international conferences, seminars, workshops, trainings and other scientific dissemination forums</x:v>
      </x:c>
      <x:c r="G218" s="11" t="n">
        <x:v>44790.5</x:v>
      </x:c>
      <x:c r="H218" s="11" t="n">
        <x:v>45886.5</x:v>
      </x:c>
      <x:c r="I218" s="7" t="str">
        <x:f>TEXT(G218,"dd mmm yyyy")&amp;" – "&amp;TEXT(H218,"dd mmm yyyy")</x:f>
        <x:v>17 Aug 2022 – 17 Aug 2025</x:v>
      </x:c>
      <x:c r="J218" s="7" t="str">
        <x:f>IF(H218&lt;TODAY(),"Expired","Active")</x:f>
        <x:v>Expired</x:v>
      </x:c>
      <x:c r="K218" s="15" t="str">
        <x:v>https://drive.google.com/file/d/1KOhf6vBp-MDmLaR_201FwRicuWk3H6HS/view?usp=drive_link</x:v>
      </x:c>
    </x:row>
    <x:row r="219" ht="42" customHeight="1">
      <x:c r="A219" s="9" t="str">
        <x:v>MOU-2022-017</x:v>
      </x:c>
      <x:c r="B219" s="9" t="str">
        <x:v>MoU_Universite Laval_Canada_2022</x:v>
      </x:c>
      <x:c r="C219" s="7" t="n">
        <x:v>17</x:v>
      </x:c>
      <x:c r="D219" s="13" t="str">
        <x:v>Universite Laval</x:v>
      </x:c>
      <x:c r="E219" s="13" t="str">
        <x:v>Canada</x:v>
      </x:c>
      <x:c r="F219" s="13" t="str">
        <x:v>a) Exchanges of staffs and professors
b) Exchanges of students
c) Joint research activities
d) Participation in seminars
e) Exchanges of pedagogical and scientific documents
f) Joint formation programs
g) Joint publications</x:v>
      </x:c>
      <x:c r="G219" s="11" t="n">
        <x:v>44767.5</x:v>
      </x:c>
      <x:c r="H219" s="11" t="n">
        <x:v>46593.5</x:v>
      </x:c>
      <x:c r="I219" s="7" t="str">
        <x:f>TEXT(G219,"dd mmm yyyy")&amp;" – "&amp;TEXT(H219,"dd mmm yyyy")</x:f>
        <x:v>25 Jul 2022 – 25 Jul 2027</x:v>
      </x:c>
      <x:c r="J219" s="7" t="str">
        <x:f>IF(H219&lt;TODAY(),"Expired","Active")</x:f>
        <x:v>Active</x:v>
      </x:c>
      <x:c r="K219" s="15" t="str">
        <x:v>https://drive.google.com/file/d/1h9nSLBI6mzyiY3_zKLdNgh2KQ7Qs_fI0/view?usp=drive_link</x:v>
      </x:c>
    </x:row>
    <x:row r="220" ht="42" customHeight="1">
      <x:c r="A220" s="9" t="str">
        <x:v>MOU-2022-018</x:v>
      </x:c>
      <x:c r="B220" s="9" t="str">
        <x:v>MoU_Kemerovo State Medical University_Rusia_2022</x:v>
      </x:c>
      <x:c r="C220" s="7" t="n">
        <x:v>19</x:v>
      </x:c>
      <x:c r="D220" s="13" t="str">
        <x:v>Kemerovo State Medical University</x:v>
      </x:c>
      <x:c r="E220" s="13" t="str">
        <x:v>Rusia</x:v>
      </x:c>
      <x:c r="F220" s="13" t="str">
        <x:v>to promote mutual academic cooperation and exchange as an conduct joint researches in priority areas of mutual interest mutual exchange of information scientific and educational materials promote acces to database in the course of scientific research plan</x:v>
      </x:c>
      <x:c r="G220" s="11" t="n">
        <x:v>44743.5</x:v>
      </x:c>
      <x:c r="H220" s="11" t="n">
        <x:v>46569.5</x:v>
      </x:c>
      <x:c r="I220" s="7" t="str">
        <x:f>TEXT(G220,"dd mmm yyyy")&amp;" – "&amp;TEXT(H220,"dd mmm yyyy")</x:f>
        <x:v>01 Jul 2022 – 01 Jul 2027</x:v>
      </x:c>
      <x:c r="J220" s="7" t="str">
        <x:f>IF(H220&lt;TODAY(),"Expired","Active")</x:f>
        <x:v>Active</x:v>
      </x:c>
      <x:c r="K220" s="15" t="str">
        <x:v>https://drive.google.com/file/d/1RZuPjEgebEiNU0QQCUTXloFxNpSRljk5/view?usp=drive_link</x:v>
      </x:c>
    </x:row>
    <x:row r="221" ht="42" customHeight="1">
      <x:c r="A221" s="9" t="str">
        <x:v>MOU-2022-019</x:v>
      </x:c>
      <x:c r="B221" s="9" t="str">
        <x:v>MoU_Tarlac Agricultural University_Philippines_2022</x:v>
      </x:c>
      <x:c r="C221" s="7" t="n">
        <x:v>18</x:v>
      </x:c>
      <x:c r="D221" s="13" t="str">
        <x:v>Tarlac Agricultural University</x:v>
      </x:c>
      <x:c r="E221" s="13" t="str">
        <x:v>Philippines</x:v>
      </x:c>
      <x:c r="F221" s="13" t="str">
        <x:v>1) Research and collaboration in the area of mutual interest 
2) Collaboration in seminars 
3) Exchange academic information 
4) Exchange of researchers and students 
5) Joint supervision for graduate students</x:v>
      </x:c>
      <x:c r="G221" s="11" t="n">
        <x:v>44743.5</x:v>
      </x:c>
      <x:c r="H221" s="11" t="n">
        <x:v>46569.5</x:v>
      </x:c>
      <x:c r="I221" s="7" t="str">
        <x:f>TEXT(G221,"dd mmm yyyy")&amp;" – "&amp;TEXT(H221,"dd mmm yyyy")</x:f>
        <x:v>01 Jul 2022 – 01 Jul 2027</x:v>
      </x:c>
      <x:c r="J221" s="7" t="str">
        <x:f>IF(H221&lt;TODAY(),"Expired","Active")</x:f>
        <x:v>Active</x:v>
      </x:c>
      <x:c r="K221" s="15" t="str">
        <x:v>https://drive.google.com/file/d/1a6s8lyz_l-SpFihn8gOtGhT-xf_l7Ek9/view?usp=drive_link</x:v>
      </x:c>
    </x:row>
    <x:row r="222" ht="42" customHeight="1">
      <x:c r="A222" s="9" t="str">
        <x:v>MOU-2022-020</x:v>
      </x:c>
      <x:c r="B222" s="9" t="str">
        <x:v>MoU_Universiteit Gent Belgium_Belgium_2022</x:v>
      </x:c>
      <x:c r="C222" s="7" t="n">
        <x:v>20</x:v>
      </x:c>
      <x:c r="D222" s="13" t="str">
        <x:v>Universiteit Gent Belgium</x:v>
      </x:c>
      <x:c r="E222" s="13" t="str">
        <x:v>Belgium</x:v>
      </x:c>
      <x:c r="F222" s="13" t="str">
        <x:v>a) The exchange of students;
b) The exchange of teaching and/or administrative staff;
c) The development of collaborative research projects;
d) The organisation of joint academic and scientific activities, such as courses, lectures, seminars or conferences;
e) Exchange of scientific, academic and technical information and academic material, and other information of mutual interest for which each Party holds intellectual property rights.</x:v>
      </x:c>
      <x:c r="G222" s="11" t="n">
        <x:v>44720.5</x:v>
      </x:c>
      <x:c r="H222" s="11" t="n">
        <x:v>45816.5</x:v>
      </x:c>
      <x:c r="I222" s="7" t="str">
        <x:f>TEXT(G222,"dd mmm yyyy")&amp;" – "&amp;TEXT(H222,"dd mmm yyyy")</x:f>
        <x:v>08 Jun 2022 – 08 Jun 2025</x:v>
      </x:c>
      <x:c r="J222" s="7" t="str">
        <x:f>IF(H222&lt;TODAY(),"Expired","Active")</x:f>
        <x:v>Expired</x:v>
      </x:c>
      <x:c r="K222" s="15" t="str">
        <x:v>https://drive.google.com/file/d/1P2lA1btEfdAeRMv_GyxJj9QLQxiPOTX6/view?usp=drive_link</x:v>
      </x:c>
    </x:row>
    <x:row r="223" ht="42" customHeight="1">
      <x:c r="A223" s="9" t="str">
        <x:v>MOU-2022-021</x:v>
      </x:c>
      <x:c r="B223" s="9" t="str">
        <x:v>MoU_Keio University_Japan_2022</x:v>
      </x:c>
      <x:c r="C223" s="7" t="n">
        <x:v>21</x:v>
      </x:c>
      <x:c r="D223" s="13" t="str">
        <x:v>Keio University</x:v>
      </x:c>
      <x:c r="E223" s="13" t="str">
        <x:v>Japan</x:v>
      </x:c>
      <x:c r="F223" s="13" t="str">
        <x:v>1) to develop joint research activities
2) to invite each other to participate in seminars and conferences organized by the respective institutions
3) to support mutual visits
4) to exchange graduate and undergraduate
5) to explore collaboration in education to exchange</x:v>
      </x:c>
      <x:c r="G223" s="11" t="n">
        <x:v>44719.5</x:v>
      </x:c>
      <x:c r="H223" s="11" t="n">
        <x:v>46545.5</x:v>
      </x:c>
      <x:c r="I223" s="7" t="str">
        <x:f>TEXT(G223,"dd mmm yyyy")&amp;" – "&amp;TEXT(H223,"dd mmm yyyy")</x:f>
        <x:v>07 Jun 2022 – 07 Jun 2027</x:v>
      </x:c>
      <x:c r="J223" s="7" t="str">
        <x:f>IF(H223&lt;TODAY(),"Expired","Active")</x:f>
        <x:v>Active</x:v>
      </x:c>
      <x:c r="K223" s="15" t="str">
        <x:v>https://drive.google.com/file/d/1CDrODIpyfx10hhttkObNP9tMUCLOJbr5/view?usp=drive_link</x:v>
      </x:c>
    </x:row>
    <x:row r="224" ht="42" customHeight="1">
      <x:c r="A224" s="9" t="str">
        <x:v>MOU-2022-022</x:v>
      </x:c>
      <x:c r="B224" s="9" t="str">
        <x:v>MoU_The George Institute for Global Health_Australia_2022</x:v>
      </x:c>
      <x:c r="C224" s="7" t="n">
        <x:v>22</x:v>
      </x:c>
      <x:c r="D224" s="13" t="str">
        <x:v>The George Institute for Global Health</x:v>
      </x:c>
      <x:c r="E224" s="13" t="str">
        <x:v>Australia</x:v>
      </x:c>
      <x:c r="F224" s="13" t="str">
        <x:v>1) Academic and research activities
2) Funding applications and peer reviewed and grey-literature publications
3) Education and capacity building activities
4) Advocacy and thought leadership activities to promote wider dissemination</x:v>
      </x:c>
      <x:c r="G224" s="11" t="n">
        <x:v>44706.5</x:v>
      </x:c>
      <x:c r="H224" s="11" t="n">
        <x:v>46532.5</x:v>
      </x:c>
      <x:c r="I224" s="7" t="str">
        <x:f>TEXT(G224,"dd mmm yyyy")&amp;" – "&amp;TEXT(H224,"dd mmm yyyy")</x:f>
        <x:v>25 May 2022 – 25 May 2027</x:v>
      </x:c>
      <x:c r="J224" s="7" t="str">
        <x:f>IF(H224&lt;TODAY(),"Expired","Active")</x:f>
        <x:v>Active</x:v>
      </x:c>
      <x:c r="K224" s="15" t="str">
        <x:v>https://drive.google.com/file/d/1VTM9UL9a7Q4tFHHu_-wpp751PcDiwyHt/view?usp=drive_link</x:v>
      </x:c>
    </x:row>
    <x:row r="225" ht="42" customHeight="1">
      <x:c r="A225" s="9" t="str">
        <x:v>MOU-2022-023</x:v>
      </x:c>
      <x:c r="B225" s="9" t="str">
        <x:v>MoU_Ton Duc Thang University_Vietnam_2022</x:v>
      </x:c>
      <x:c r="C225" s="7" t="n">
        <x:v>23</x:v>
      </x:c>
      <x:c r="D225" s="13" t="str">
        <x:v>Ton Duc Thang University</x:v>
      </x:c>
      <x:c r="E225" s="13" t="str">
        <x:v>Vietnam</x:v>
      </x:c>
      <x:c r="F225" s="13" t="str">
        <x:v>a) Promote interest in the teaching and research activities of the respective institutions
b) Promote institutional exchange by inviting students faculty and administrators of the partner institutions to participate in variety of learning, teaching and research activities and professional development
c) Conduct joint research and joint-training programs
d) Organize symposia, conferences, short courses and meetings on research issues
e) Promote other academic cooperation as agreed by both universities</x:v>
      </x:c>
      <x:c r="G225" s="11" t="n">
        <x:v>44704.5</x:v>
      </x:c>
      <x:c r="H225" s="11" t="n">
        <x:v>46530.5</x:v>
      </x:c>
      <x:c r="I225" s="7" t="str">
        <x:f>TEXT(G225,"dd mmm yyyy")&amp;" – "&amp;TEXT(H225,"dd mmm yyyy")</x:f>
        <x:v>23 May 2022 – 23 May 2027</x:v>
      </x:c>
      <x:c r="J225" s="7" t="str">
        <x:f>IF(H225&lt;TODAY(),"Expired","Active")</x:f>
        <x:v>Active</x:v>
      </x:c>
      <x:c r="K225" s="15" t="str">
        <x:v>https://drive.google.com/file/d/1ZbUoKkNzUdz0bMpjY13IdI29kOqe0shD/view?usp=drive_link</x:v>
      </x:c>
    </x:row>
    <x:row r="226" ht="42" customHeight="1">
      <x:c r="A226" s="9" t="str">
        <x:v>MOU-2022-024</x:v>
      </x:c>
      <x:c r="B226" s="9" t="str">
        <x:v>MoU_Taylor and Francis Group (an Informa Business)_United Kingdom_2022</x:v>
      </x:c>
      <x:c r="C226" s="7" t="n">
        <x:v>24</x:v>
      </x:c>
      <x:c r="D226" s="13" t="str">
        <x:v>Taylor and Francis Group (an Informa Business)</x:v>
      </x:c>
      <x:c r="E226" s="13" t="str">
        <x:v>United Kingdom</x:v>
      </x:c>
      <x:c r="F226" s="13" t="str">
        <x:v>Enhance UB researchers capabilities in scholarly communication international knowledge and academic exchange joint development of high quality research output and journal collaboration</x:v>
      </x:c>
      <x:c r="G226" s="11" t="n">
        <x:v>44670.5</x:v>
      </x:c>
      <x:c r="H226" s="11" t="n">
        <x:v>45401.5</x:v>
      </x:c>
      <x:c r="I226" s="7" t="str">
        <x:f>TEXT(G226,"dd mmm yyyy")&amp;" – "&amp;TEXT(H226,"dd mmm yyyy")</x:f>
        <x:v>19 Apr 2022 – 19 Apr 2024</x:v>
      </x:c>
      <x:c r="J226" s="7" t="str">
        <x:f>IF(H226&lt;TODAY(),"Expired","Active")</x:f>
        <x:v>Expired</x:v>
      </x:c>
      <x:c r="K226" s="15" t="str">
        <x:v>https://drive.google.com/file/d/1bOmAUe9MqyXKGSqdS8oGDlr7XP0IO7ZX/view?usp=drive_link</x:v>
      </x:c>
    </x:row>
    <x:row r="227" ht="42" customHeight="1">
      <x:c r="A227" s="9" t="str">
        <x:v>MOU-2022-025</x:v>
      </x:c>
      <x:c r="B227" s="9" t="str">
        <x:v>MoU_Utrecht University_Netherland_2022</x:v>
      </x:c>
      <x:c r="C227" s="7" t="n">
        <x:v>25</x:v>
      </x:c>
      <x:c r="D227" s="13" t="str">
        <x:v>Utrecht University</x:v>
      </x:c>
      <x:c r="E227" s="13" t="str">
        <x:v>Netherland</x:v>
      </x:c>
      <x:c r="F227" s="13" t="str">
        <x:v>a) Exchange of faculty members and students;
b) Exchange of academic literature and infomation;
c) Student internship and Gesis (co-supervision) programs;
d) Collaborative research;
e) Post-Doctoral program</x:v>
      </x:c>
      <x:c r="G227" s="11" t="n">
        <x:v>44659.5</x:v>
      </x:c>
      <x:c r="H227" s="11" t="n">
        <x:v>46120.5</x:v>
      </x:c>
      <x:c r="I227" s="7" t="str">
        <x:f>TEXT(G227,"dd mmm yyyy")&amp;" – "&amp;TEXT(H227,"dd mmm yyyy")</x:f>
        <x:v>08 Apr 2022 – 08 Apr 2026</x:v>
      </x:c>
      <x:c r="J227" s="7" t="str">
        <x:f>IF(H227&lt;TODAY(),"Expired","Active")</x:f>
        <x:v>Expired</x:v>
      </x:c>
      <x:c r="K227" s="15" t="str">
        <x:v>https://drive.google.com/file/d/1KDgJ6rf8sKCdVeWPLCSsu87pVnLipQ3P/view?usp=drive_link</x:v>
      </x:c>
    </x:row>
    <x:row r="228" ht="42" customHeight="1">
      <x:c r="A228" s="9" t="str">
        <x:v>MOU-2022-026</x:v>
      </x:c>
      <x:c r="B228" s="9" t="str">
        <x:v>MoU_Universiti Teknologi Mara_Malaysia_2022</x:v>
      </x:c>
      <x:c r="C228" s="7" t="n">
        <x:v>26</x:v>
      </x:c>
      <x:c r="D228" s="13" t="str">
        <x:v>Universiti Teknologi Mara</x:v>
      </x:c>
      <x:c r="E228" s="13" t="str">
        <x:v>Malaysia</x:v>
      </x:c>
      <x:c r="F228" s="13" t="str">
        <x:v>exchange of student exchange of teaching and/or administrative staff development of collaborative research project organisation of joint academic and scientific activities such as courses lectures seminar or conferences exchange of scientific academica</x:v>
      </x:c>
      <x:c r="G228" s="11" t="n">
        <x:v>44650.5</x:v>
      </x:c>
      <x:c r="H228" s="11" t="n">
        <x:v>45746.5</x:v>
      </x:c>
      <x:c r="I228" s="7" t="str">
        <x:f>TEXT(G228,"dd mmm yyyy")&amp;" – "&amp;TEXT(H228,"dd mmm yyyy")</x:f>
        <x:v>30 Mar 2022 – 30 Mar 2025</x:v>
      </x:c>
      <x:c r="J228" s="7" t="str">
        <x:f>IF(H228&lt;TODAY(),"Expired","Active")</x:f>
        <x:v>Expired</x:v>
      </x:c>
      <x:c r="K228" s="15" t="str">
        <x:v>https://drive.google.com/file/d/1Hhx6_px8ypJYPLo7snP08rXT2_V0oOXV/view?usp=drive_link</x:v>
      </x:c>
    </x:row>
    <x:row r="229" ht="42" customHeight="1">
      <x:c r="A229" s="9" t="str">
        <x:v>MOU-2022-027</x:v>
      </x:c>
      <x:c r="B229" s="9" t="str">
        <x:v>MoU_Universiteit Antwerpen_Belgium_2022</x:v>
      </x:c>
      <x:c r="C229" s="7" t="n">
        <x:v>27</x:v>
      </x:c>
      <x:c r="D229" s="13" t="str">
        <x:v>Universiteit Antwerpen</x:v>
      </x:c>
      <x:c r="E229" s="13" t="str">
        <x:v>Belgium</x:v>
      </x:c>
      <x:c r="F229" s="13" t="str">
        <x:v>1.1) Exchange of information
1.2) Mutual visits by faculty members and exchange students
1.3) Development of collaborative academic programmes
1.4) Development of joint research activities
1.5) Development of joint research funding applications on areas of mutual interest
1.6) Development and sharing of industrial, work and laboratory placement opportunitles
1.7) Participation in seminars and conferences organized by the respective institutions and
1.8) Collaboration in sharing best practices across institutions</x:v>
      </x:c>
      <x:c r="G229" s="11" t="n">
        <x:v>44637.5</x:v>
      </x:c>
      <x:c r="H229" s="11" t="n">
        <x:v>46463.5</x:v>
      </x:c>
      <x:c r="I229" s="7" t="str">
        <x:f>TEXT(G229,"dd mmm yyyy")&amp;" – "&amp;TEXT(H229,"dd mmm yyyy")</x:f>
        <x:v>17 Mar 2022 – 17 Mar 2027</x:v>
      </x:c>
      <x:c r="J229" s="7" t="str">
        <x:f>IF(H229&lt;TODAY(),"Expired","Active")</x:f>
        <x:v>Active</x:v>
      </x:c>
      <x:c r="K229" s="15" t="str">
        <x:v>https://drive.google.com/file/d/1fXSt2rDLXtiKTxAaGazsYXxqOtTInSNW/view?usp=drive_link</x:v>
      </x:c>
    </x:row>
    <x:row r="230" ht="42" customHeight="1">
      <x:c r="A230" s="9" t="str">
        <x:v>MOU-2022-028</x:v>
      </x:c>
      <x:c r="B230" s="9" t="str">
        <x:v>MoU_National Central University (NCU)_Taiwan_2022</x:v>
      </x:c>
      <x:c r="C230" s="7" t="n">
        <x:v>28</x:v>
      </x:c>
      <x:c r="D230" s="13" t="str">
        <x:v>National Central University (NCU)</x:v>
      </x:c>
      <x:c r="E230" s="13" t="str">
        <x:v>Taiwan</x:v>
      </x:c>
      <x:c r="F230" s="13" t="str">
        <x:v>Student Exchange</x:v>
      </x:c>
      <x:c r="G230" s="11" t="n">
        <x:v>44586.5</x:v>
      </x:c>
      <x:c r="H230" s="11" t="n">
        <x:v>46412.5</x:v>
      </x:c>
      <x:c r="I230" s="7" t="str">
        <x:f>TEXT(G230,"dd mmm yyyy")&amp;" – "&amp;TEXT(H230,"dd mmm yyyy")</x:f>
        <x:v>25 Jan 2022 – 25 Jan 2027</x:v>
      </x:c>
      <x:c r="J230" s="7" t="str">
        <x:f>IF(H230&lt;TODAY(),"Expired","Active")</x:f>
        <x:v>Active</x:v>
      </x:c>
      <x:c r="K230" s="15" t="str">
        <x:v>https://drive.google.com/file/d/1hnpVw1qhlFFRlay9MBMPZViwYUaZWy4b/view?usp=drive_link</x:v>
      </x:c>
    </x:row>
    <x:row r="231" ht="42" customHeight="1">
      <x:c r="A231" s="9" t="str">
        <x:v>MOU-2022-029</x:v>
      </x:c>
      <x:c r="B231" s="9" t="str">
        <x:v>MoU_St. Paul University_Philippines_2022</x:v>
      </x:c>
      <x:c r="C231" s="7" t="n">
        <x:v>29</x:v>
      </x:c>
      <x:c r="D231" s="13" t="str">
        <x:v>St. Paul University</x:v>
      </x:c>
      <x:c r="E231" s="13" t="str">
        <x:v>Philippines</x:v>
      </x:c>
      <x:c r="F231" s="13" t="str">
        <x:v>a) Student exchange in the undergraduate and graduate levels
b) Joint Bachelor of Science in Nursing (BSN) program
c) Credit Transfer for Bachelor of Science in (BSN) program
d) Faculty/Staff exchange
e) Sharing of academic information and team teaching collaboration
f) Joint hosting of conferences, seminars, workshops and symposia
g) Joint research, joint publication, and joint authorship</x:v>
      </x:c>
      <x:c r="G231" s="11" t="n">
        <x:v>44578.5</x:v>
      </x:c>
      <x:c r="H231" s="11" t="n">
        <x:v>46404.5</x:v>
      </x:c>
      <x:c r="I231" s="7" t="str">
        <x:f>TEXT(G231,"dd mmm yyyy")&amp;" – "&amp;TEXT(H231,"dd mmm yyyy")</x:f>
        <x:v>17 Jan 2022 – 17 Jan 2027</x:v>
      </x:c>
      <x:c r="J231" s="7" t="str">
        <x:f>IF(H231&lt;TODAY(),"Expired","Active")</x:f>
        <x:v>Active</x:v>
      </x:c>
      <x:c r="K231" s="15" t="str">
        <x:v>https://drive.google.com/file/d/1MgN-HsNb4lgjB0JeOMuYFbEmCE5lZVlt/view?usp=drive_link</x:v>
      </x:c>
    </x:row>
    <x:row r="232" ht="42" customHeight="1">
      <x:c r="A232" s="9" t="str">
        <x:v>MOU-2022-030</x:v>
      </x:c>
      <x:c r="B232" s="9" t="str">
        <x:v>MoU_Management and Science University Malaysia_Malaysia_2022</x:v>
      </x:c>
      <x:c r="C232" s="7" t="n">
        <x:v>30</x:v>
      </x:c>
      <x:c r="D232" s="13" t="str">
        <x:v>Management and Science University Malaysia</x:v>
      </x:c>
      <x:c r="E232" s="13" t="str">
        <x:v>Malaysia</x:v>
      </x:c>
      <x:c r="F232" s="13" t="str">
        <x:v>Exchange of Teaching Staff and Researchers Joint Development of Research Projects Joint Organisation of Scientific and Cultural Event Exchange of Student Exchange of Members of Technical and Administrative Staff Shared Course and Subjects Dual Degrees Dou</x:v>
      </x:c>
      <x:c r="G232" s="11" t="n">
        <x:v>44562.5</x:v>
      </x:c>
      <x:c r="H232" s="11" t="n">
        <x:v>46661.5</x:v>
      </x:c>
      <x:c r="I232" s="7" t="str">
        <x:f>TEXT(G232,"dd mmm yyyy")&amp;" – "&amp;TEXT(H232,"dd mmm yyyy")</x:f>
        <x:v>01 Jan 2022 – 01 Oct 2027</x:v>
      </x:c>
      <x:c r="J232" s="7" t="str">
        <x:f>IF(H232&lt;TODAY(),"Expired","Active")</x:f>
        <x:v>Active</x:v>
      </x:c>
      <x:c r="K232" s="15" t="str">
        <x:v>https://drive.google.com/file/d/1uROwoXueQ7DeZK8lVwSUse-TIBLegH5u/view?usp=drive_link</x:v>
      </x:c>
    </x:row>
    <x:row r="233" ht="42" customHeight="1">
      <x:c r="A233" s="9" t="str">
        <x:v>MOU-2022-031</x:v>
      </x:c>
      <x:c r="B233" s="9" t="str">
        <x:v>MoU_Members of the Southeast Asian University Consortium for Graduate Education in Agriculture and Natural Resources and The State Universities and Colleges - Association of Colleges of Agriculture in the Philippines, INC. (SUC-ACAP) --&gt; Universiti Putra Malaysia, The University of The Philippines Los Banos, Kasetsart University, Tokyo University of Agriculture, National Taiwan University_Philippines_2022</x:v>
      </x:c>
      <x:c r="C233" s="7" t="n">
        <x:v>31</x:v>
      </x:c>
      <x:c r="D233" s="13" t="str">
        <x:v>Members of the Southeast Asian University Consortium
for Graduate Education in Agriculture and Natural Resources
and
The State Universities and Colleges - Association of
Colleges of Agriculture in the Philippines, INC. (SUC-ACAP) --&gt;
Universiti Putra Malaysia, The University of The Philippines Los Banos, Kasetsart University, Tokyo University of Agriculture, National Taiwan University</x:v>
      </x:c>
      <x:c r="E233" s="13" t="str">
        <x:v>Philippines</x:v>
      </x:c>
      <x:c r="F233" s="13" t="str">
        <x:v>1. To facilitate academic exchanges between their respective members, and between themselves, encouraging mobility of students, research and teaching staff; 
2. To exchange good practices and organize joint/dual/multiple degrees offered jointly by their members and facilitate all activities of mutual interest and benefit that can contribute to approach this goal; and 
3. Execute separate agreements in writing subject to the terms and conditions as 
mutually agreed upon by the Parties.</x:v>
      </x:c>
      <x:c r="G233" s="11" t="n">
        <x:v>44562.5</x:v>
      </x:c>
      <x:c r="H233" s="11" t="n">
        <x:v>45657.5</x:v>
      </x:c>
      <x:c r="I233" s="7" t="str">
        <x:f>TEXT(G233,"dd mmm yyyy")&amp;" – "&amp;TEXT(H233,"dd mmm yyyy")</x:f>
        <x:v>01 Jan 2022 – 31 Dec 2024</x:v>
      </x:c>
      <x:c r="J233" s="7" t="str">
        <x:f>IF(H233&lt;TODAY(),"Expired","Active")</x:f>
        <x:v>Expired</x:v>
      </x:c>
      <x:c r="K233" s="15" t="str">
        <x:v>https://drive.google.com/file/d/18y-cMSk_ETrg3UImq1FLGttIwKZndFNI/view?usp=drive_link</x:v>
      </x:c>
    </x:row>
    <x:row r="234" ht="42" customHeight="1">
      <x:c r="A234" s="9" t="str">
        <x:v>MOU-2021-001</x:v>
      </x:c>
      <x:c r="B234" s="9" t="str">
        <x:v>MoU_UNTREF Universidad Nacional De Tres De Febrero_Argentina_2021</x:v>
      </x:c>
      <x:c r="C234" s="7" t="n">
        <x:v>1</x:v>
      </x:c>
      <x:c r="D234" s="13" t="str">
        <x:v>UNTREF Universidad Nacional De Tres De Febrero</x:v>
      </x:c>
      <x:c r="E234" s="13" t="str">
        <x:v>Argentina</x:v>
      </x:c>
      <x:c r="F234" s="13" t="str">
        <x:v>1. Exchange of faculty and / or staff
2. Exchange of graduate and / or undergraduate students
3. Exchange of scientific materials, publications, and information
4. Exchange of cultural activities
5. Joint conferences and academic programs
6. Joint research activities and publications</x:v>
      </x:c>
      <x:c r="G234" s="11" t="n">
        <x:v>44560.5</x:v>
      </x:c>
      <x:c r="H234" s="11" t="n">
        <x:v>46021.5</x:v>
      </x:c>
      <x:c r="I234" s="7" t="str">
        <x:f>TEXT(G234,"dd mmm yyyy")&amp;" – "&amp;TEXT(H234,"dd mmm yyyy")</x:f>
        <x:v>30 Dec 2021 – 30 Dec 2025</x:v>
      </x:c>
      <x:c r="J234" s="7" t="str">
        <x:f>IF(H234&lt;TODAY(),"Expired","Active")</x:f>
        <x:v>Expired</x:v>
      </x:c>
      <x:c r="K234" s="15" t="str">
        <x:v>https://drive.google.com/file/d/17VBIZ8qis-1pq4X1vGNucK5IJRCBBKAi/view?usp=drive_link</x:v>
      </x:c>
    </x:row>
    <x:row r="235" ht="42" customHeight="1">
      <x:c r="A235" s="9" t="str">
        <x:v>MOU-2021-002</x:v>
      </x:c>
      <x:c r="B235" s="9" t="str">
        <x:v>MoU_Universiti Putra Malaysia_Malaysia_2021</x:v>
      </x:c>
      <x:c r="C235" s="7" t="n">
        <x:v>2</x:v>
      </x:c>
      <x:c r="D235" s="13" t="str">
        <x:v>Universiti Putra Malaysia</x:v>
      </x:c>
      <x:c r="E235" s="13" t="str">
        <x:v>Malaysia</x:v>
      </x:c>
      <x:c r="F235" s="13" t="str">
        <x:v>(a) exchange of teaching and research personnel
(b) interchange of ideas and practices, including joint research cooperation and curriculum development
(c) exchange of students (to support research, internships, and course credit)
(d) collaboration in education, research and community outreach projects; and
(e) any other areas of co-operation to be mutually agreed upon by the Parties</x:v>
      </x:c>
      <x:c r="G235" s="11" t="n">
        <x:v>44550.5</x:v>
      </x:c>
      <x:c r="H235" s="11" t="n">
        <x:v>46376.5</x:v>
      </x:c>
      <x:c r="I235" s="7" t="str">
        <x:f>TEXT(G235,"dd mmm yyyy")&amp;" – "&amp;TEXT(H235,"dd mmm yyyy")</x:f>
        <x:v>20 Dec 2021 – 20 Dec 2026</x:v>
      </x:c>
      <x:c r="J235" s="7" t="str">
        <x:f>IF(H235&lt;TODAY(),"Expired","Active")</x:f>
        <x:v>Active</x:v>
      </x:c>
      <x:c r="K235" s="15" t="str">
        <x:v>https://drive.google.com/file/d/1Wx-Hv--4QhyimospmcYqjSxhw0W8PqJl/view?usp=drive_link</x:v>
      </x:c>
    </x:row>
    <x:row r="236" ht="42" customHeight="1">
      <x:c r="A236" s="9" t="str">
        <x:v>MOU-2021-003</x:v>
      </x:c>
      <x:c r="B236" s="9" t="str">
        <x:v>MoU_Universiteit Antwerpen_Belgium_2021</x:v>
      </x:c>
      <x:c r="C236" s="7" t="n">
        <x:v>3</x:v>
      </x:c>
      <x:c r="D236" s="13" t="str">
        <x:v>Universiteit Antwerpen</x:v>
      </x:c>
      <x:c r="E236" s="13" t="str">
        <x:v>Belgium</x:v>
      </x:c>
      <x:c r="F236" s="13" t="str">
        <x:v>(a) the exchange of students
(b) the exchange of teaching and/or administrative staff
(c) the development of collaborative research projects
(d) the organisation of joint academic and scientific activities, such as courses, lectures, seminar or conferences
(e) the exchange of scientific, academic and technical information and academic material, and other information of mutual interest for which each Party holds intellectual property rights.</x:v>
      </x:c>
      <x:c r="G236" s="11" t="n">
        <x:v>44523.5</x:v>
      </x:c>
      <x:c r="H236" s="11" t="n">
        <x:v>46349.5</x:v>
      </x:c>
      <x:c r="I236" s="7" t="str">
        <x:f>TEXT(G236,"dd mmm yyyy")&amp;" – "&amp;TEXT(H236,"dd mmm yyyy")</x:f>
        <x:v>23 Nov 2021 – 23 Nov 2026</x:v>
      </x:c>
      <x:c r="J236" s="7" t="str">
        <x:f>IF(H236&lt;TODAY(),"Expired","Active")</x:f>
        <x:v>Active</x:v>
      </x:c>
      <x:c r="K236" s="15" t="str">
        <x:v>https://drive.google.com/file/d/11QXZ__n0M3L1W342D4OTwEgI--UMKyef/view?usp=share_link</x:v>
      </x:c>
    </x:row>
    <x:row r="237" ht="42" customHeight="1">
      <x:c r="A237" s="9" t="str">
        <x:v>MOU-2021-004</x:v>
      </x:c>
      <x:c r="B237" s="9" t="str">
        <x:v>MoU_Institut Francais d'Indonésie_France_2021</x:v>
      </x:c>
      <x:c r="C237" s="7" t="n">
        <x:v>4</x:v>
      </x:c>
      <x:c r="D237" s="13" t="str">
        <x:v>Institut Francais d'Indonésie</x:v>
      </x:c>
      <x:c r="E237" s="13" t="str">
        <x:v>France</x:v>
      </x:c>
      <x:c r="F237" s="13" t="str">
        <x:v>1) Mengidentifikasi  kondisi  peningkatan   kualitas pengajaran  bahasa  Prancis  di  Program  
Studi Prancis;
2) Menetapkan       rencana       program       untuk pengembangan  pengajaran  dan  pembelajaran 
bahasa  Prancis di Program  Studi Prancis, baik dalam jangka pendek maupun jangka panjang;
3) Menetapkan       program       kegiatan       untuk memperkuat   daya  tarik  bahasa  Prancis  
bagi para mahasiswa dan pengajar;
4) Menentukan     persyaratan     penyelenggaraan program kerja sama.</x:v>
      </x:c>
      <x:c r="G237" s="11" t="n">
        <x:v>44510.5</x:v>
      </x:c>
      <x:c r="H237" s="11" t="n">
        <x:v>44875.5</x:v>
      </x:c>
      <x:c r="I237" s="7" t="str">
        <x:f>TEXT(G237,"dd mmm yyyy")&amp;" – "&amp;TEXT(H237,"dd mmm yyyy")</x:f>
        <x:v>10 Nov 2021 – 10 Nov 2022</x:v>
      </x:c>
      <x:c r="J237" s="7" t="str">
        <x:f>IF(H237&lt;TODAY(),"Expired","Active")</x:f>
        <x:v>Expired</x:v>
      </x:c>
      <x:c r="K237" s="15" t="str">
        <x:v>https://drive.google.com/file/d/1moQhp0AF4ACSvbnDYGwcVgTba9vnvVBy/view?usp=drive_link</x:v>
      </x:c>
    </x:row>
    <x:row r="238" ht="42" customHeight="1">
      <x:c r="A238" s="9" t="str">
        <x:v>MOU-2021-005</x:v>
      </x:c>
      <x:c r="B238" s="9" t="str">
        <x:v>MoU_Providence University_Taiwan_2021</x:v>
      </x:c>
      <x:c r="C238" s="7" t="n">
        <x:v>5</x:v>
      </x:c>
      <x:c r="D238" s="13" t="str">
        <x:v>Providence University</x:v>
      </x:c>
      <x:c r="E238" s="13" t="str">
        <x:v>Taiwan</x:v>
      </x:c>
      <x:c r="F238" s="13" t="str">
        <x:v>a) Exchange of faculty members and students;
b) Exchange of academic literature and information;
c) Collaborative research;
d) Post-Doctoral Program
e) Any other activities to be decided on the basis of mutual agreement by both universities.</x:v>
      </x:c>
      <x:c r="G238" s="11" t="n">
        <x:v>44476.5</x:v>
      </x:c>
      <x:c r="H238" s="11" t="n">
        <x:v>46302.5</x:v>
      </x:c>
      <x:c r="I238" s="7" t="str">
        <x:f>TEXT(G238,"dd mmm yyyy")&amp;" – "&amp;TEXT(H238,"dd mmm yyyy")</x:f>
        <x:v>07 Oct 2021 – 07 Oct 2026</x:v>
      </x:c>
      <x:c r="J238" s="7" t="str">
        <x:f>IF(H238&lt;TODAY(),"Expired","Active")</x:f>
        <x:v>Active</x:v>
      </x:c>
      <x:c r="K238" s="15" t="str">
        <x:v>https://drive.google.com/file/d/1PpKK-vTPSBgqFnQDdzwDbm--Le50-r4h/view?usp=drive_link</x:v>
      </x:c>
    </x:row>
    <x:row r="239" ht="42" customHeight="1">
      <x:c r="A239" s="9" t="str">
        <x:v>MOU-2021-006</x:v>
      </x:c>
      <x:c r="B239" s="9" t="str">
        <x:v>MoU_National Dong Hwa University_Taiwan_2021</x:v>
      </x:c>
      <x:c r="C239" s="7" t="n">
        <x:v>6</x:v>
      </x:c>
      <x:c r="D239" s="13" t="str">
        <x:v>National Dong Hwa University</x:v>
      </x:c>
      <x:c r="E239" s="13" t="str">
        <x:v>Taiwan</x:v>
      </x:c>
      <x:c r="F239" s="13" t="str">
        <x:v>(a) Exchange of information and materials that are of mutual interest. 
(b) Assistance of the visits by staff nd faculty. 
(c) Joint publications or research between faculty and staff. 
(d) Exchange of students under conditions and circumstances stated in Article 4 of the agreement. 
(e) Exchange of faculty and researchers under conditions and circumstances stated in Article 5 of the agreement.</x:v>
      </x:c>
      <x:c r="G239" s="11" t="n">
        <x:v>44474.5</x:v>
      </x:c>
      <x:c r="H239" s="11" t="n">
        <x:v>46300.5</x:v>
      </x:c>
      <x:c r="I239" s="7" t="str">
        <x:f>TEXT(G239,"dd mmm yyyy")&amp;" – "&amp;TEXT(H239,"dd mmm yyyy")</x:f>
        <x:v>05 Oct 2021 – 05 Oct 2026</x:v>
      </x:c>
      <x:c r="J239" s="7" t="str">
        <x:f>IF(H239&lt;TODAY(),"Expired","Active")</x:f>
        <x:v>Active</x:v>
      </x:c>
      <x:c r="K239" s="15" t="str">
        <x:v>https://drive.google.com/file/d/1W5fBRVKKqxTc98xZCNqvX14vkIQog1_a/view?usp=drive_link</x:v>
      </x:c>
    </x:row>
    <x:row r="240" ht="42" customHeight="1">
      <x:c r="A240" s="9" t="str">
        <x:v>MOU-2021-007</x:v>
      </x:c>
      <x:c r="B240" s="9" t="str">
        <x:v>MoU_National Pingtung University of Science and Technology_Taiwan_2021</x:v>
      </x:c>
      <x:c r="C240" s="7" t="n">
        <x:v>7</x:v>
      </x:c>
      <x:c r="D240" s="13" t="str">
        <x:v>National Pingtung University of Science and Technology</x:v>
      </x:c>
      <x:c r="E240" s="13" t="str">
        <x:v>Taiwan</x:v>
      </x:c>
      <x:c r="F240" s="13" t="str">
        <x:v>(1) Development of mutually beneficial academic and training programs (2) Exchange of students for purpose of studying; and faculty &amp; staff for purposes of teaching, research and extension (3) Reciprocal assistance for visiting academic faculty, staff and students (4) Coordination of such activities as joint research and transfer of technology (5) Exchange of documentation and research materials in fields of mutual interests (6) Development of Dual Degree Program</x:v>
      </x:c>
      <x:c r="G240" s="11" t="n">
        <x:v>44470.5</x:v>
      </x:c>
      <x:c r="H240" s="11" t="n">
        <x:v>46296.5</x:v>
      </x:c>
      <x:c r="I240" s="7" t="str">
        <x:f>TEXT(G240,"dd mmm yyyy")&amp;" – "&amp;TEXT(H240,"dd mmm yyyy")</x:f>
        <x:v>01 Oct 2021 – 01 Oct 2026</x:v>
      </x:c>
      <x:c r="J240" s="7" t="str">
        <x:f>IF(H240&lt;TODAY(),"Expired","Active")</x:f>
        <x:v>Active</x:v>
      </x:c>
      <x:c r="K240" s="15" t="str">
        <x:v>https://drive.google.com/file/d/19WOW8SdiETrGQUYQAcDPsqpuf-rm-O-s/view?usp=share_link</x:v>
      </x:c>
    </x:row>
    <x:row r="241" ht="42" customHeight="1">
      <x:c r="A241" s="9" t="str">
        <x:v>MOU-2021-008</x:v>
      </x:c>
      <x:c r="B241" s="9" t="str">
        <x:v>MoU_Shenzhen Polytechnic SZPT People Republic of China_China_2021</x:v>
      </x:c>
      <x:c r="C241" s="7" t="n">
        <x:v>8</x:v>
      </x:c>
      <x:c r="D241" s="13" t="str">
        <x:v>Shenzhen Polytechnic SZPT People Republic of China</x:v>
      </x:c>
      <x:c r="E241" s="13" t="str">
        <x:v>China</x:v>
      </x:c>
      <x:c r="F241" s="13" t="str">
        <x:v>i. To explore visits and exchange of students
ii. To explore short term faculty exchange and faculty development
iii. To explore teaching &amp; learning initiatives and other research and academic activities
iv. To eplore visits by and training of faculty and staff
v. To explore other opportunities as appropriate</x:v>
      </x:c>
      <x:c r="G241" s="11" t="n">
        <x:v>44460.5</x:v>
      </x:c>
      <x:c r="H241" s="11" t="n">
        <x:v>45556.5</x:v>
      </x:c>
      <x:c r="I241" s="7" t="str">
        <x:f>TEXT(G241,"dd mmm yyyy")&amp;" – "&amp;TEXT(H241,"dd mmm yyyy")</x:f>
        <x:v>21 Sep 2021 – 21 Sep 2024</x:v>
      </x:c>
      <x:c r="J241" s="7" t="str">
        <x:f>IF(H241&lt;TODAY(),"Expired","Active")</x:f>
        <x:v>Expired</x:v>
      </x:c>
      <x:c r="K241" s="15" t="str">
        <x:v>https://drive.google.com/file/d/1_dHXvOjsmTq9yEE0jGjlFatEc2XtZ8be/view?usp=share_link</x:v>
      </x:c>
    </x:row>
    <x:row r="242" ht="42" customHeight="1">
      <x:c r="A242" s="9" t="str">
        <x:v>MOU-2021-009</x:v>
      </x:c>
      <x:c r="B242" s="9" t="str">
        <x:v>MoU_Universiti Malaya_Malaysia_2021</x:v>
      </x:c>
      <x:c r="C242" s="7" t="n">
        <x:v>9</x:v>
      </x:c>
      <x:c r="D242" s="13" t="str">
        <x:v>Universiti Malaya</x:v>
      </x:c>
      <x:c r="E242" s="13" t="str">
        <x:v>Malaysia</x:v>
      </x:c>
      <x:c r="F242" s="13" t="str">
        <x:v>a) Exchange of faculty members and students; 
b) Exchange of academic literature and information; 
c) Collaborative research; 
d) Post-Doctoral Program; 
e) Collaborative community service 
f) Doctoral program 
g) Joint lectures 
h) Joint supervision and examination 
i) Any other activities to be decided on the basis of mutual agreement by both universities.</x:v>
      </x:c>
      <x:c r="G242" s="11" t="n">
        <x:v>44455.5</x:v>
      </x:c>
      <x:c r="H242" s="11" t="n">
        <x:v>45551.5</x:v>
      </x:c>
      <x:c r="I242" s="7" t="str">
        <x:f>TEXT(G242,"dd mmm yyyy")&amp;" – "&amp;TEXT(H242,"dd mmm yyyy")</x:f>
        <x:v>16 Sep 2021 – 16 Sep 2024</x:v>
      </x:c>
      <x:c r="J242" s="7" t="str">
        <x:f>IF(H242&lt;TODAY(),"Expired","Active")</x:f>
        <x:v>Expired</x:v>
      </x:c>
      <x:c r="K242" s="15" t="str">
        <x:v>https://drive.google.com/file/d/1AOEPhe0fgVSR2b7dC1BI7OSAOjJRDaiv/view?usp=drive_link</x:v>
      </x:c>
    </x:row>
    <x:row r="243" ht="42" customHeight="1">
      <x:c r="A243" s="9" t="str">
        <x:v>MOU-2021-010</x:v>
      </x:c>
      <x:c r="B243" s="9" t="str">
        <x:v>MoU_National Sun Yat-Sen University_Taiwan_2021</x:v>
      </x:c>
      <x:c r="C243" s="7" t="n">
        <x:v>10</x:v>
      </x:c>
      <x:c r="D243" s="13" t="str">
        <x:v>National Sun Yat-Sen University</x:v>
      </x:c>
      <x:c r="E243" s="13" t="str">
        <x:v>Taiwan</x:v>
      </x:c>
      <x:c r="F243" s="13" t="str">
        <x:v>a. Exchange of faculty and staff members b. Exchange of students c. Exchange of publications and relevant academic and scholarly information d. Joint research, lecturer and symposia e. Double Degree / Joint Degree f. Other activities deemed appropriate by mutual consent</x:v>
      </x:c>
      <x:c r="G243" s="11" t="n">
        <x:v>44451.5</x:v>
      </x:c>
      <x:c r="H243" s="11" t="n">
        <x:v>46277.5</x:v>
      </x:c>
      <x:c r="I243" s="7" t="str">
        <x:f>TEXT(G243,"dd mmm yyyy")&amp;" – "&amp;TEXT(H243,"dd mmm yyyy")</x:f>
        <x:v>12 Sep 2021 – 12 Sep 2026</x:v>
      </x:c>
      <x:c r="J243" s="7" t="str">
        <x:f>IF(H243&lt;TODAY(),"Expired","Active")</x:f>
        <x:v>Active</x:v>
      </x:c>
      <x:c r="K243" s="15" t="str">
        <x:v>https://drive.google.com/file/d/1ZgqyW6_GpcRzosgcrM2AtKjzLnh48exE/view?usp=share_link</x:v>
      </x:c>
    </x:row>
    <x:row r="244" ht="42" customHeight="1">
      <x:c r="A244" s="9" t="str">
        <x:v>MOU-2021-011</x:v>
      </x:c>
      <x:c r="B244" s="9" t="str">
        <x:v>MoU_Thai Nguyen University of Agriculture and Forestry_Vietnam_2021</x:v>
      </x:c>
      <x:c r="C244" s="7" t="n">
        <x:v>12</x:v>
      </x:c>
      <x:c r="D244" s="13" t="str">
        <x:v>Thai Nguyen University of Agriculture and Forestry</x:v>
      </x:c>
      <x:c r="E244" s="13" t="str">
        <x:v>Vietnam</x:v>
      </x:c>
      <x:c r="F244" s="13" t="str">
        <x:v>a. Collaboration in academic, research activities, and community development
b. Collaboration and capacity building through the exchange programs, joint reseacrh supervision, and publications
c. Any other areas of co-operation to be mutually decided upon by the Parties</x:v>
      </x:c>
      <x:c r="G244" s="11" t="n">
        <x:v>44440.5</x:v>
      </x:c>
      <x:c r="H244" s="11" t="n">
        <x:v>45536.5</x:v>
      </x:c>
      <x:c r="I244" s="7" t="str">
        <x:f>TEXT(G244,"dd mmm yyyy")&amp;" – "&amp;TEXT(H244,"dd mmm yyyy")</x:f>
        <x:v>01 Sep 2021 – 01 Sep 2024</x:v>
      </x:c>
      <x:c r="J244" s="7" t="str">
        <x:f>IF(H244&lt;TODAY(),"Expired","Active")</x:f>
        <x:v>Expired</x:v>
      </x:c>
      <x:c r="K244" s="15" t="str">
        <x:v>https://drive.google.com/file/d/1iulfX1FGH9NACkc-ZN98dqm7fHTiFAYV/view?usp=share_link</x:v>
      </x:c>
    </x:row>
    <x:row r="245" ht="42" customHeight="1">
      <x:c r="A245" s="9" t="str">
        <x:v>MOU-2021-012</x:v>
      </x:c>
      <x:c r="B245" s="9" t="str">
        <x:v>MoU_University of Pecs_Hungary_2021</x:v>
      </x:c>
      <x:c r="C245" s="7" t="n">
        <x:v>11</x:v>
      </x:c>
      <x:c r="D245" s="13" t="str">
        <x:v>University of Pecs</x:v>
      </x:c>
      <x:c r="E245" s="13" t="str">
        <x:v>Hungary</x:v>
      </x:c>
      <x:c r="F245" s="13" t="str">
        <x:v>1) Faculty exchanges for teaching and research
2) Study and research carried out by UP faculty members and undergraduate (BA, BSc) and graduate (MA, MSc, PhD, DLA) students at UB
3) Joint organisation and sponsorships of courses, seminars, study tours, conferences and colloquia, and joint participation in each other's academic events
4) Joint research projects, including grant applications for governmental, EU or other funding
5) Exchanges in the field of sports, music, theatre, dance or any other artistic, athletic and cultural fields
6) Administrative and professional staff internships and exchanges</x:v>
      </x:c>
      <x:c r="G245" s="11" t="n">
        <x:v>44440.5</x:v>
      </x:c>
      <x:c r="H245" s="11" t="n">
        <x:v>46022.5</x:v>
      </x:c>
      <x:c r="I245" s="7" t="str">
        <x:f>TEXT(G245,"dd mmm yyyy")&amp;" – "&amp;TEXT(H245,"dd mmm yyyy")</x:f>
        <x:v>01 Sep 2021 – 31 Dec 2025</x:v>
      </x:c>
      <x:c r="J245" s="7" t="str">
        <x:f>IF(H245&lt;TODAY(),"Expired","Active")</x:f>
        <x:v>Expired</x:v>
      </x:c>
      <x:c r="K245" s="15" t="str">
        <x:v>https://drive.google.com/file/d/1PMWHX9GyWF7l8oZPZXCGN57yjUuK2zS7/view?usp=drive_link</x:v>
      </x:c>
    </x:row>
    <x:row r="246" ht="42" customHeight="1">
      <x:c r="A246" s="9" t="str">
        <x:v>MOU-2021-013</x:v>
      </x:c>
      <x:c r="B246" s="9" t="str">
        <x:v>MoU_NUSA DUA RESOURCES Sdn. Bhd._Malaysia_2021</x:v>
      </x:c>
      <x:c r="C246" s="7" t="n">
        <x:v>13</x:v>
      </x:c>
      <x:c r="D246" s="13" t="str">
        <x:v>NUSA DUA RESOURCES Sdn. Bhd.</x:v>
      </x:c>
      <x:c r="E246" s="13" t="str">
        <x:v>Malaysia</x:v>
      </x:c>
      <x:c r="F246" s="13" t="str">
        <x:v>Students from Malaysia who have successfully passed their Seleksi Penerimaan Mahasiswa Baru Program Internasional examination will be automatically registered in the same year at the same university. 
An allocation of seats for medical program and other programs are planned available yearly for 
students from Malaysia.</x:v>
      </x:c>
      <x:c r="G246" s="11" t="n">
        <x:v>44428.5</x:v>
      </x:c>
      <x:c r="H246" s="11" t="n">
        <x:v>45158.5</x:v>
      </x:c>
      <x:c r="I246" s="7" t="str">
        <x:f>TEXT(G246,"dd mmm yyyy")&amp;" – "&amp;TEXT(H246,"dd mmm yyyy")</x:f>
        <x:v>20 Aug 2021 – 20 Aug 2023</x:v>
      </x:c>
      <x:c r="J246" s="7" t="str">
        <x:f>IF(H246&lt;TODAY(),"Expired","Active")</x:f>
        <x:v>Expired</x:v>
      </x:c>
      <x:c r="K246" s="15" t="str">
        <x:v>https://drive.google.com/file/d/1-OBQzhlsomu-3lh-ucBbvzQWVUoqb7q2/view?usp=drive_link</x:v>
      </x:c>
    </x:row>
    <x:row r="247" ht="42" customHeight="1">
      <x:c r="A247" s="9" t="str">
        <x:v>MOU-2021-014</x:v>
      </x:c>
      <x:c r="B247" s="9" t="str">
        <x:v>MoU_Institut Francais D'Indonesie IFI_France_2021</x:v>
      </x:c>
      <x:c r="C247" s="7" t="n">
        <x:v>14</x:v>
      </x:c>
      <x:c r="D247" s="13" t="str">
        <x:v>Institut Francais D'Indonesie IFI</x:v>
      </x:c>
      <x:c r="E247" s="13" t="str">
        <x:v>France</x:v>
      </x:c>
      <x:c r="F247" s="13" t="str">
        <x:v>Pelaksanaan ujian DELF-DALF</x:v>
      </x:c>
      <x:c r="G247" s="11" t="n">
        <x:v>44424.5</x:v>
      </x:c>
      <x:c r="H247" s="11" t="n">
        <x:v>45154.5</x:v>
      </x:c>
      <x:c r="I247" s="7" t="str">
        <x:f>TEXT(G247,"dd mmm yyyy")&amp;" – "&amp;TEXT(H247,"dd mmm yyyy")</x:f>
        <x:v>16 Aug 2021 – 16 Aug 2023</x:v>
      </x:c>
      <x:c r="J247" s="7" t="str">
        <x:f>IF(H247&lt;TODAY(),"Expired","Active")</x:f>
        <x:v>Expired</x:v>
      </x:c>
      <x:c r="K247" s="15" t="str">
        <x:v>https://drive.google.com/file/d/1MZX6UiDZpM_-fEH_QnjhpYz4eS6Iu0zV/view?usp=share_link</x:v>
      </x:c>
    </x:row>
    <x:row r="248" ht="42" customHeight="1">
      <x:c r="A248" s="9" t="str">
        <x:v>MOU-2021-015</x:v>
      </x:c>
      <x:c r="B248" s="9" t="str">
        <x:v>MoU_SEARCA THE STATE UNIVERSITIES AND COLLEGES ASSOCIATION OF COLLEGES OF AGRICULTURE IN THE PHILIPPINES INC SUC-ACAP_Philippines_2021</x:v>
      </x:c>
      <x:c r="C248" s="7" t="n">
        <x:v>15</x:v>
      </x:c>
      <x:c r="D248" s="13" t="str">
        <x:v>SEARCA THE STATE UNIVERSITIES AND COLLEGES ASSOCIATION OF COLLEGES OF AGRICULTURE IN THE PHILIPPINES INC SUC-ACAP</x:v>
      </x:c>
      <x:c r="E248" s="13" t="str">
        <x:v>Philippines</x:v>
      </x:c>
      <x:c r="F248" s="13" t="str">
        <x:v>searca consortium</x:v>
      </x:c>
      <x:c r="G248" s="11" t="n">
        <x:v>44416.5</x:v>
      </x:c>
      <x:c r="H248" s="11" t="n">
        <x:v>45512.5</x:v>
      </x:c>
      <x:c r="I248" s="7" t="str">
        <x:f>TEXT(G248,"dd mmm yyyy")&amp;" – "&amp;TEXT(H248,"dd mmm yyyy")</x:f>
        <x:v>08 Aug 2021 – 08 Aug 2024</x:v>
      </x:c>
      <x:c r="J248" s="7" t="str">
        <x:f>IF(H248&lt;TODAY(),"Expired","Active")</x:f>
        <x:v>Expired</x:v>
      </x:c>
      <x:c r="K248" s="15" t="str">
        <x:v>https://drive.google.com/file/d/1EywXpuDiUaCqBT17IR57p5GI-Z9Fl7pV/view?usp=share_link</x:v>
      </x:c>
    </x:row>
    <x:row r="249" ht="42" customHeight="1">
      <x:c r="A249" s="9" t="str">
        <x:v>MOU-2021-016</x:v>
      </x:c>
      <x:c r="B249" s="9" t="str">
        <x:v>MoU_Changzou Institute of Technology_China_2021</x:v>
      </x:c>
      <x:c r="C249" s="7" t="n">
        <x:v>16</x:v>
      </x:c>
      <x:c r="D249" s="13" t="str">
        <x:v>Changzou Institute of Technology</x:v>
      </x:c>
      <x:c r="E249" s="13" t="str">
        <x:v>China</x:v>
      </x:c>
      <x:c r="F249" s="13" t="str">
        <x:v>(1) Exchange of faculty, researchers and other research and administrative staff
(2) Exchange of students
(3) Conducting collaborative research projects
(4) Conducting lectures and organizing symposia
(5) Promoting other academic cooperation as mutually agreed</x:v>
      </x:c>
      <x:c r="G249" s="11" t="n">
        <x:v>44415.5</x:v>
      </x:c>
      <x:c r="H249" s="11" t="n">
        <x:v>46241.5</x:v>
      </x:c>
      <x:c r="I249" s="7" t="str">
        <x:f>TEXT(G249,"dd mmm yyyy")&amp;" – "&amp;TEXT(H249,"dd mmm yyyy")</x:f>
        <x:v>07 Aug 2021 – 07 Aug 2026</x:v>
      </x:c>
      <x:c r="J249" s="7" t="str">
        <x:f>IF(H249&lt;TODAY(),"Expired","Active")</x:f>
        <x:v>Active</x:v>
      </x:c>
      <x:c r="K249" s="15" t="str">
        <x:v>https://drive.google.com/file/d/1ipl_9FzydqdUq8CsEwyVRDansGR5Av97/view?usp=share_link</x:v>
      </x:c>
    </x:row>
    <x:row r="250" ht="42" customHeight="1">
      <x:c r="A250" s="9" t="str">
        <x:v>MOU-2021-017</x:v>
      </x:c>
      <x:c r="B250" s="9" t="str">
        <x:v>MoU_National Research Institute for Rural Electrification / Hangzhou Regional Center (Asia-Pacific) for Small Hydro Power_China_2021</x:v>
      </x:c>
      <x:c r="C250" s="7" t="n">
        <x:v>17</x:v>
      </x:c>
      <x:c r="D250" s="13" t="str">
        <x:v>National Research Institute for Rural Electrification / Hangzhou Regional Center (Asia-Pacific) for Small Hydro Power</x:v>
      </x:c>
      <x:c r="E250" s="13" t="str">
        <x:v>China</x:v>
      </x:c>
      <x:c r="F250" s="13" t="str">
        <x:v>1) NRIRE/HRC shall provide related equipment of these demonstrative sites;
2) UB shall provide the needed cables for power distribution if any;
3) UB shall be responsible for the needed civil works construction, very small usually;
4) UB shall get the permit for the interconnection to the local power grid;
5) NRIRE/HRC shall provide professional hands-on training and technical training for UB;
6) Mainly based on the sound cooperation, the Parties endeavour to set up the China-ASEAN "Belt &amp; Road" Joint Laboratory of Green Rural Electrification</x:v>
      </x:c>
      <x:c r="G250" s="11" t="n">
        <x:v>44380.5</x:v>
      </x:c>
      <x:c r="H250" s="11" t="n">
        <x:v>46206.5</x:v>
      </x:c>
      <x:c r="I250" s="7" t="str">
        <x:f>TEXT(G250,"dd mmm yyyy")&amp;" – "&amp;TEXT(H250,"dd mmm yyyy")</x:f>
        <x:v>03 Jul 2021 – 03 Jul 2026</x:v>
      </x:c>
      <x:c r="J250" s="7" t="str">
        <x:f>IF(H250&lt;TODAY(),"Expired","Active")</x:f>
        <x:v>Expired</x:v>
      </x:c>
      <x:c r="K250" s="15" t="str">
        <x:v>https://drive.google.com/file/d/1jvLKNDrmgsovyYsHAbjRx3M_esQ8P9Uj/view?usp=drive_link</x:v>
      </x:c>
    </x:row>
    <x:row r="251" ht="42" customHeight="1">
      <x:c r="A251" s="9" t="str">
        <x:v>MOU-2021-018</x:v>
      </x:c>
      <x:c r="B251" s="9" t="str">
        <x:v>MoU_National Taiwan Ocean University Keelung_Taiwan_2021</x:v>
      </x:c>
      <x:c r="C251" s="7" t="n">
        <x:v>18</x:v>
      </x:c>
      <x:c r="D251" s="13" t="str">
        <x:v>National Taiwan Ocean University Keelung</x:v>
      </x:c>
      <x:c r="E251" s="13" t="str">
        <x:v>Taiwan</x:v>
      </x:c>
      <x:c r="F251" s="13" t="str">
        <x:v>1) Exchange of faculty members
2) Exchange of students on the undergraduate and graduate level.
3) Joint research activities
4) Participation in seminars and academic meetings
5) Journal publication
6) Exchange of academic materials and other information
7) Special short-term academic programs
8) Staff development projects</x:v>
      </x:c>
      <x:c r="G251" s="11" t="n">
        <x:v>44368.5</x:v>
      </x:c>
      <x:c r="H251" s="11" t="n">
        <x:v>46194.5</x:v>
      </x:c>
      <x:c r="I251" s="7" t="str">
        <x:f>TEXT(G251,"dd mmm yyyy")&amp;" – "&amp;TEXT(H251,"dd mmm yyyy")</x:f>
        <x:v>21 Jun 2021 – 21 Jun 2026</x:v>
      </x:c>
      <x:c r="J251" s="7" t="str">
        <x:f>IF(H251&lt;TODAY(),"Expired","Active")</x:f>
        <x:v>Expired</x:v>
      </x:c>
      <x:c r="K251" s="15" t="str">
        <x:v>https://drive.google.com/file/d/1xDfb8vqva06hNftZPH5hzlRSgDHyxMhG/view?usp=drive_link</x:v>
      </x:c>
    </x:row>
    <x:row r="252" ht="42" customHeight="1">
      <x:c r="A252" s="9" t="str">
        <x:v>MOU-2021-019</x:v>
      </x:c>
      <x:c r="B252" s="9" t="str">
        <x:v>MoU_Rajamangala University of Technology Srivijaya_Thailand_2021</x:v>
      </x:c>
      <x:c r="C252" s="7" t="n">
        <x:v>19</x:v>
      </x:c>
      <x:c r="D252" s="13" t="str">
        <x:v>Rajamangala University of Technology Srivijaya</x:v>
      </x:c>
      <x:c r="E252" s="13" t="str">
        <x:v>Thailand</x:v>
      </x:c>
      <x:c r="F252" s="13" t="str">
        <x:v>1) Exchange of faculty  and/or staff.
2) Exchange of graduate,  diploma, and/or undergraduate  students.
3) Exchange of scientific  materials,  publications, and  information.
4) Exchange of cul tural  activities.
5) Joint  conferences  and academic  programs.
6) Joint  research  activities and publications.</x:v>
      </x:c>
      <x:c r="G252" s="11" t="n">
        <x:v>44358.5</x:v>
      </x:c>
      <x:c r="H252" s="11" t="n">
        <x:v>46184.5</x:v>
      </x:c>
      <x:c r="I252" s="7" t="str">
        <x:f>TEXT(G252,"dd mmm yyyy")&amp;" – "&amp;TEXT(H252,"dd mmm yyyy")</x:f>
        <x:v>11 Jun 2021 – 11 Jun 2026</x:v>
      </x:c>
      <x:c r="J252" s="7" t="str">
        <x:f>IF(H252&lt;TODAY(),"Expired","Active")</x:f>
        <x:v>Expired</x:v>
      </x:c>
      <x:c r="K252" s="15" t="str">
        <x:v>https://drive.google.com/file/d/1CzZ_C6hx_K6cYJiNDNllGl7dzNQzomNX/view?usp=drive_link</x:v>
      </x:c>
    </x:row>
    <x:row r="253" ht="42" customHeight="1">
      <x:c r="A253" s="9" t="str">
        <x:v>MOU-2021-020</x:v>
      </x:c>
      <x:c r="B253" s="9" t="str">
        <x:v>MoU_Yamanashi Gakuin University_Japan_2021</x:v>
      </x:c>
      <x:c r="C253" s="7" t="n">
        <x:v>20</x:v>
      </x:c>
      <x:c r="D253" s="13" t="str">
        <x:v>Yamanashi Gakuin University</x:v>
      </x:c>
      <x:c r="E253" s="13" t="str">
        <x:v>Japan</x:v>
      </x:c>
      <x:c r="F253" s="13" t="str">
        <x:v>a) Exchange of faculty members and students
b) Exchange of academic literature and information
c) Collaborative research
d) Any other activities to be decided on the basis of mutual agreement by both universities.</x:v>
      </x:c>
      <x:c r="G253" s="11" t="n">
        <x:v>44319.5</x:v>
      </x:c>
      <x:c r="H253" s="11" t="n">
        <x:v>46145.5</x:v>
      </x:c>
      <x:c r="I253" s="7" t="str">
        <x:f>TEXT(G253,"dd mmm yyyy")&amp;" – "&amp;TEXT(H253,"dd mmm yyyy")</x:f>
        <x:v>03 May 2021 – 03 May 2026</x:v>
      </x:c>
      <x:c r="J253" s="7" t="str">
        <x:f>IF(H253&lt;TODAY(),"Expired","Active")</x:f>
        <x:v>Expired</x:v>
      </x:c>
      <x:c r="K253" s="15" t="str">
        <x:v>https://drive.google.com/file/d/1m9sY9GI_Ea6XTc4TkojhXa7R4HuB_TaI/view?usp=share_link</x:v>
      </x:c>
    </x:row>
    <x:row r="254" ht="42" customHeight="1">
      <x:c r="A254" s="9" t="str">
        <x:v>MOU-2021-021</x:v>
      </x:c>
      <x:c r="B254" s="9" t="str">
        <x:v>MoU_Tianjin Foreign Studies University_China_2021</x:v>
      </x:c>
      <x:c r="C254" s="7" t="n">
        <x:v>21</x:v>
      </x:c>
      <x:c r="D254" s="13" t="str">
        <x:v>Tianjin Foreign Studies University</x:v>
      </x:c>
      <x:c r="E254" s="13" t="str">
        <x:v>China</x:v>
      </x:c>
      <x:c r="F254" s="13" t="str">
        <x:v>1) Exchange of faculty, researchers and other research and administrate staff
2) Exchange of students
3) Conducting collaborative research projects
4) Conducting lectures and organizing symposia
5) Promoting other academic cooperation as mutually agreed</x:v>
      </x:c>
      <x:c r="G254" s="11" t="n">
        <x:v>44312.5</x:v>
      </x:c>
      <x:c r="H254" s="11" t="n">
        <x:v>46138.5</x:v>
      </x:c>
      <x:c r="I254" s="7" t="str">
        <x:f>TEXT(G254,"dd mmm yyyy")&amp;" – "&amp;TEXT(H254,"dd mmm yyyy")</x:f>
        <x:v>26 Apr 2021 – 26 Apr 2026</x:v>
      </x:c>
      <x:c r="J254" s="7" t="str">
        <x:f>IF(H254&lt;TODAY(),"Expired","Active")</x:f>
        <x:v>Expired</x:v>
      </x:c>
      <x:c r="K254" s="15" t="str">
        <x:v>https://drive.google.com/file/d/1X1Ux3rYDc2Z-AexGVadXplM1ycAS0Gb8/view?usp=share_link</x:v>
      </x:c>
    </x:row>
    <x:row r="255" ht="42" customHeight="1">
      <x:c r="A255" s="9" t="str">
        <x:v>MOU-2021-022</x:v>
      </x:c>
      <x:c r="B255" s="9" t="str">
        <x:v>MoU_Edge Hill University_United Kingdom_2021</x:v>
      </x:c>
      <x:c r="C255" s="7" t="n">
        <x:v>22</x:v>
      </x:c>
      <x:c r="D255" s="13" t="str">
        <x:v>Edge Hill University</x:v>
      </x:c>
      <x:c r="E255" s="13" t="str">
        <x:v>United Kingdom</x:v>
      </x:c>
      <x:c r="F255" s="13" t="str">
        <x:v>a) Dual degrees/articulations
b) Internships
c) Virtual learning
d) Staff &amp; student mobility
e) Further TNE activity</x:v>
      </x:c>
      <x:c r="G255" s="11" t="n">
        <x:v>44309.5</x:v>
      </x:c>
      <x:c r="H255" s="11" t="n">
        <x:v>45405.5</x:v>
      </x:c>
      <x:c r="I255" s="7" t="str">
        <x:f>TEXT(G255,"dd mmm yyyy")&amp;" – "&amp;TEXT(H255,"dd mmm yyyy")</x:f>
        <x:v>23 Apr 2021 – 23 Apr 2024</x:v>
      </x:c>
      <x:c r="J255" s="7" t="str">
        <x:f>IF(H255&lt;TODAY(),"Expired","Active")</x:f>
        <x:v>Expired</x:v>
      </x:c>
      <x:c r="K255" s="15" t="str">
        <x:v>https://drive.google.com/file/d/1jEI-gvUfRJUPE4vZcEB0mpRKDlc0ra1j/view?usp=share_link</x:v>
      </x:c>
    </x:row>
    <x:row r="256" ht="42" customHeight="1">
      <x:c r="A256" s="9" t="str">
        <x:v>MOU-2021-023</x:v>
      </x:c>
      <x:c r="B256" s="9" t="str">
        <x:v>MoU_Universiti Malaysia Pahang_Malaysia_2021</x:v>
      </x:c>
      <x:c r="C256" s="7" t="n">
        <x:v>23</x:v>
      </x:c>
      <x:c r="D256" s="13" t="str">
        <x:v>Universiti Malaysia Pahang</x:v>
      </x:c>
      <x:c r="E256" s="13" t="str">
        <x:v>Malaysia</x:v>
      </x:c>
      <x:c r="F256" s="13" t="str">
        <x:v>Exchange of Faculty Members and Student Exchange of Academic Literature and Information Collaborative Community Service Doctoral Program Joint Lectures Joint Supervision and Examination</x:v>
      </x:c>
      <x:c r="G256" s="11" t="n">
        <x:v>44306.5</x:v>
      </x:c>
      <x:c r="H256" s="11" t="n">
        <x:v>46132.5</x:v>
      </x:c>
      <x:c r="I256" s="7" t="str">
        <x:f>TEXT(G256,"dd mmm yyyy")&amp;" – "&amp;TEXT(H256,"dd mmm yyyy")</x:f>
        <x:v>20 Apr 2021 – 20 Apr 2026</x:v>
      </x:c>
      <x:c r="J256" s="7" t="str">
        <x:f>IF(H256&lt;TODAY(),"Expired","Active")</x:f>
        <x:v>Expired</x:v>
      </x:c>
      <x:c r="K256" s="15" t="str">
        <x:v>https://drive.google.com/file/d/1ou7qkudWOwC8TPqh0_-XsiV5unO4gwIh/view?usp=share_link</x:v>
      </x:c>
    </x:row>
    <x:row r="257" ht="42" customHeight="1">
      <x:c r="A257" s="9" t="str">
        <x:v>MOU-2021-024</x:v>
      </x:c>
      <x:c r="B257" s="9" t="str">
        <x:v>MoU_International Institute Of Multi-Culture Studies (IIMS)_Japan_2021</x:v>
      </x:c>
      <x:c r="C257" s="7" t="n">
        <x:v>24</x:v>
      </x:c>
      <x:c r="D257" s="13" t="str">
        <x:v>International Institute Of Multi-Culture Studies (IIMS)</x:v>
      </x:c>
      <x:c r="E257" s="13" t="str">
        <x:v>Japan</x:v>
      </x:c>
      <x:c r="F257" s="13" t="str">
        <x:v>1. Exchange of academic and administrative staff and students.
2. Exchange of academic materials and publications.
3. Cooperation in research and the presentation of its results.
4. Other academic and cultural exchange to which the two parties agree.</x:v>
      </x:c>
      <x:c r="G257" s="11" t="n">
        <x:v>44271.5</x:v>
      </x:c>
      <x:c r="H257" s="11" t="n">
        <x:v>46097.5</x:v>
      </x:c>
      <x:c r="I257" s="7" t="str">
        <x:f>TEXT(G257,"dd mmm yyyy")&amp;" – "&amp;TEXT(H257,"dd mmm yyyy")</x:f>
        <x:v>16 Mar 2021 – 16 Mar 2026</x:v>
      </x:c>
      <x:c r="J257" s="7" t="str">
        <x:f>IF(H257&lt;TODAY(),"Expired","Active")</x:f>
        <x:v>Expired</x:v>
      </x:c>
      <x:c r="K257" s="15" t="str">
        <x:v>https://drive.google.com/file/d/1oaN2V6t-NfEwv7mo75vQ4Bjkyt87hm_e/view?usp=share_link</x:v>
      </x:c>
    </x:row>
    <x:row r="258" ht="42" customHeight="1">
      <x:c r="A258" s="9" t="str">
        <x:v>MOU-2021-025</x:v>
      </x:c>
      <x:c r="B258" s="9" t="str">
        <x:v>MoU_Kumamoto University_Japan_2021</x:v>
      </x:c>
      <x:c r="C258" s="7" t="n">
        <x:v>25</x:v>
      </x:c>
      <x:c r="D258" s="13" t="str">
        <x:v>Kumamoto University</x:v>
      </x:c>
      <x:c r="E258" s="13" t="str">
        <x:v>Japan</x:v>
      </x:c>
      <x:c r="F258" s="13" t="str">
        <x:v>Student Exchange</x:v>
      </x:c>
      <x:c r="G258" s="11" t="n">
        <x:v>44258.5</x:v>
      </x:c>
      <x:c r="H258" s="11" t="n">
        <x:v>46084.5</x:v>
      </x:c>
      <x:c r="I258" s="7" t="str">
        <x:f>TEXT(G258,"dd mmm yyyy")&amp;" – "&amp;TEXT(H258,"dd mmm yyyy")</x:f>
        <x:v>03 Mar 2021 – 03 Mar 2026</x:v>
      </x:c>
      <x:c r="J258" s="7" t="str">
        <x:f>IF(H258&lt;TODAY(),"Expired","Active")</x:f>
        <x:v>Expired</x:v>
      </x:c>
      <x:c r="K258" s="15" t="str">
        <x:v>https://drive.google.com/file/d/1yIS_SLoKM-6Ufx4c4-1U96YVfvgVLhYe/view?usp=share_link</x:v>
      </x:c>
    </x:row>
    <x:row r="259" ht="42" customHeight="1">
      <x:c r="A259" s="9" t="str">
        <x:v>MOU-2021-026</x:v>
      </x:c>
      <x:c r="B259" s="9" t="str">
        <x:v>MoU_Gifu University_Japan_2021</x:v>
      </x:c>
      <x:c r="C259" s="7" t="n">
        <x:v>26</x:v>
      </x:c>
      <x:c r="D259" s="13" t="str">
        <x:v>Gifu University</x:v>
      </x:c>
      <x:c r="E259" s="13" t="str">
        <x:v>Japan</x:v>
      </x:c>
      <x:c r="F259" s="13" t="str">
        <x:v>a) Visits by and exchange of students for the purposes of study and research
b) Visits by and interchange of faculty members, researchers and administrative staff for the purposes of research, teaching and discussions
c) Exchange of academic information, materials and programs including, but not limited to, exchange of library materials and research publications
d) Joint research activities
e) Joint participation in internationally funded projects
f) Joint course development and delivery
g) Joint conferences, workshops, seminars as well as international training programs
h) Joint organization of special technical or administrative programs, and
i) Other cooperative activities as appropriate</x:v>
      </x:c>
      <x:c r="G259" s="11" t="n">
        <x:v>44250.5</x:v>
      </x:c>
      <x:c r="H259" s="11" t="n">
        <x:v>46076.5</x:v>
      </x:c>
      <x:c r="I259" s="7" t="str">
        <x:f>TEXT(G259,"dd mmm yyyy")&amp;" – "&amp;TEXT(H259,"dd mmm yyyy")</x:f>
        <x:v>23 Feb 2021 – 23 Feb 2026</x:v>
      </x:c>
      <x:c r="J259" s="7" t="str">
        <x:f>IF(H259&lt;TODAY(),"Expired","Active")</x:f>
        <x:v>Expired</x:v>
      </x:c>
      <x:c r="K259" s="15" t="str">
        <x:v>https://drive.google.com/file/d/1In9glUfqIIlqwEKBkT82qxlMZurffXD_/view?usp=share_link</x:v>
      </x:c>
    </x:row>
    <x:row r="260" ht="42" customHeight="1">
      <x:c r="A260" s="9" t="str">
        <x:v>MOU-2021-027</x:v>
      </x:c>
      <x:c r="B260" s="9" t="str">
        <x:v>MoU_ASIA E LEARNING SDN. BHD._Malaysia_2021</x:v>
      </x:c>
      <x:c r="C260" s="7" t="n">
        <x:v>27</x:v>
      </x:c>
      <x:c r="D260" s="13" t="str">
        <x:v>ASIA E LEARNING SDN. BHD.</x:v>
      </x:c>
      <x:c r="E260" s="13" t="str">
        <x:v>Malaysia</x:v>
      </x:c>
      <x:c r="F260" s="13" t="str">
        <x:v>i) To  collaborate  in  mutually  beneficial  ways  on  the  following  academic
programmes:
Bachelor of Information and Communication Technology (Hons) 
Bachelor of Digital Creative Media (Hons)
Bachelor of Business Administration (Hons) Bachelor in Accounting (Hons) Programmes of Mutual 
Interest
ii) To facilitate the exchange of academic members, researchers and experts for conducting 
research, teaching or exchange of ideas.
iii) To provide opportunities for Professors and Researchers to participate in conferences, 
symposia and international meetings of both universities.
iv) To  provide  necessary  facilities  to  exchange  Professors  to  spend  their sabbatical 
leaves in each other's universities.
v) To  exchange  students  in the  areas  of mutual  interest  consistent  with regulations of 
both countries.</x:v>
      </x:c>
      <x:c r="G260" s="11" t="n">
        <x:v>44246.5</x:v>
      </x:c>
      <x:c r="H260" s="11" t="n">
        <x:v>45341.5</x:v>
      </x:c>
      <x:c r="I260" s="7" t="str">
        <x:f>TEXT(G260,"dd mmm yyyy")&amp;" – "&amp;TEXT(H260,"dd mmm yyyy")</x:f>
        <x:v>19 Feb 2021 – 19 Feb 2024</x:v>
      </x:c>
      <x:c r="J260" s="7" t="str">
        <x:f>IF(H260&lt;TODAY(),"Expired","Active")</x:f>
        <x:v>Expired</x:v>
      </x:c>
      <x:c r="K260" s="15" t="str">
        <x:v>https://drive.google.com/file/d/15NxU_Agpd9K9CJ1X3ctIMYjJJ-DBnFsB/view?usp=drive_link</x:v>
      </x:c>
    </x:row>
    <x:row r="261" ht="42" customHeight="1">
      <x:c r="A261" s="9" t="str">
        <x:v>MOU-2021-028</x:v>
      </x:c>
      <x:c r="B261" s="9" t="str">
        <x:v>MoU_International Islamic University of Malaysia_Malaysia_2021</x:v>
      </x:c>
      <x:c r="C261" s="7" t="n">
        <x:v>29</x:v>
      </x:c>
      <x:c r="D261" s="13" t="str">
        <x:v>International Islamic University of Malaysia</x:v>
      </x:c>
      <x:c r="E261" s="13" t="str">
        <x:v>Malaysia</x:v>
      </x:c>
      <x:c r="F261" s="13" t="str">
        <x:v>a) Exchange of faculty members;
b) Exchange of students;
c) Collaboration  in service learning and community projects; and
d) Cooperation in educational and research activities.</x:v>
      </x:c>
      <x:c r="G261" s="11" t="n">
        <x:v>44197.5</x:v>
      </x:c>
      <x:c r="H261" s="11" t="n">
        <x:v>45292.5</x:v>
      </x:c>
      <x:c r="I261" s="7" t="str">
        <x:f>TEXT(G261,"dd mmm yyyy")&amp;" – "&amp;TEXT(H261,"dd mmm yyyy")</x:f>
        <x:v>01 Jan 2021 – 01 Jan 2024</x:v>
      </x:c>
      <x:c r="J261" s="7" t="str">
        <x:f>IF(H261&lt;TODAY(),"Expired","Active")</x:f>
        <x:v>Expired</x:v>
      </x:c>
      <x:c r="K261" s="15" t="str">
        <x:v>https://drive.google.com/file/d/1N0jXjVGfRMRUSlspGVoqMeKQyaUTwJnx/view?usp=drive_link</x:v>
      </x:c>
    </x:row>
    <x:row r="262" ht="42" customHeight="1">
      <x:c r="A262" s="9" t="str">
        <x:v>MOU-2021-029</x:v>
      </x:c>
      <x:c r="B262" s="9" t="str">
        <x:v>MoU_Kun Shan University_Taiwan_2021</x:v>
      </x:c>
      <x:c r="C262" s="7" t="n">
        <x:v>28</x:v>
      </x:c>
      <x:c r="D262" s="13" t="str">
        <x:v>Kun Shan University</x:v>
      </x:c>
      <x:c r="E262" s="13" t="str">
        <x:v>Taiwan</x:v>
      </x:c>
      <x:c r="F262" s="13" t="str">
        <x:v>1) Exchange of academic and administrative staff and students.
2) Exchange of academic  materials and publications.
3) Cooperation in research.
4) 2+i Industry-Academia Collaboration  Program for Indonesian.
5) Dual-degree  programs</x:v>
      </x:c>
      <x:c r="G262" s="11" t="n">
        <x:v>44197.5</x:v>
      </x:c>
      <x:c r="H262" s="11" t="n">
        <x:v>46023.5</x:v>
      </x:c>
      <x:c r="I262" s="7" t="str">
        <x:f>TEXT(G262,"dd mmm yyyy")&amp;" – "&amp;TEXT(H262,"dd mmm yyyy")</x:f>
        <x:v>01 Jan 2021 – 01 Jan 2026</x:v>
      </x:c>
      <x:c r="J262" s="7" t="str">
        <x:f>IF(H262&lt;TODAY(),"Expired","Active")</x:f>
        <x:v>Expired</x:v>
      </x:c>
      <x:c r="K262" s="15" t="str">
        <x:v>https://drive.google.com/file/d/1NNsBy1BPp5P2qR68eG5r7yiR1_Rwwq1O/view?usp=drive_link</x:v>
      </x:c>
    </x:row>
    <x:row r="263" ht="42" customHeight="1">
      <x:c r="A263" s="9" t="str">
        <x:v>MOU-2021-030</x:v>
      </x:c>
      <x:c r="B263" s="9" t="str">
        <x:v>MoU_Universite Le Havre Normandie_France_2021</x:v>
      </x:c>
      <x:c r="C263" s="7" t="n">
        <x:v>30</x:v>
      </x:c>
      <x:c r="D263" s="13" t="str">
        <x:v>Universite Le Havre Normandie</x:v>
      </x:c>
      <x:c r="E263" s="13" t="str">
        <x:v>France</x:v>
      </x:c>
      <x:c r="F263" s="13" t="str">
        <x:v>Training, Research, Supporting Actions</x:v>
      </x:c>
      <x:c r="G263" s="11" t="n">
        <x:v>44197.5</x:v>
      </x:c>
      <x:c r="H263" s="11" t="n">
        <x:v>45292.5</x:v>
      </x:c>
      <x:c r="I263" s="7" t="str">
        <x:f>TEXT(G263,"dd mmm yyyy")&amp;" – "&amp;TEXT(H263,"dd mmm yyyy")</x:f>
        <x:v>01 Jan 2021 – 01 Jan 2024</x:v>
      </x:c>
      <x:c r="J263" s="7" t="str">
        <x:f>IF(H263&lt;TODAY(),"Expired","Active")</x:f>
        <x:v>Expired</x:v>
      </x:c>
      <x:c r="K263" s="15" t="str">
        <x:v>https://drive.google.com/file/d/1uI1Ae4yKQolhwcEpOtt9Us4Npys0KuyO/view?usp=share_link</x:v>
      </x:c>
    </x:row>
    <x:row r="264" ht="42" customHeight="1">
      <x:c r="A264" s="9" t="str">
        <x:v>MOU-2020-001</x:v>
      </x:c>
      <x:c r="B264" s="9" t="str">
        <x:v>MoU_Federation University_Australia_2020</x:v>
      </x:c>
      <x:c r="C264" s="7" t="n">
        <x:v>1</x:v>
      </x:c>
      <x:c r="D264" s="13" t="str">
        <x:v>Federation University</x:v>
      </x:c>
      <x:c r="E264" s="13" t="str">
        <x:v>Australia</x:v>
      </x:c>
      <x:c r="F264" s="13" t="str">
        <x:v>1) Exchange of staff
2) Exchange of students
3) Joint research activities
4) Collaborative research and supervision of higher degree candidates
5) Joint conferences and other academic meetings
6) Collaborative and joint delivery of continuing professional development
7) Qualification recognition and articulation arrangements
8) Study tours and summer schools
9) Fee-paying study abroad (term or year-long)</x:v>
      </x:c>
      <x:c r="G264" s="11" t="n">
        <x:v>44165.5</x:v>
      </x:c>
      <x:c r="H264" s="11" t="n">
        <x:v>45991.5</x:v>
      </x:c>
      <x:c r="I264" s="7" t="str">
        <x:f>TEXT(G264,"dd mmm yyyy")&amp;" – "&amp;TEXT(H264,"dd mmm yyyy")</x:f>
        <x:v>30 Nov 2020 – 30 Nov 2025</x:v>
      </x:c>
      <x:c r="J264" s="7" t="str">
        <x:f>IF(H264&lt;TODAY(),"Expired","Active")</x:f>
        <x:v>Expired</x:v>
      </x:c>
      <x:c r="K264" s="15" t="str">
        <x:v>https://drive.google.com/file/d/1sMdME02-DXo2Qz0sZ7iaUKCm6sN5-d8n/view?usp=drive_link</x:v>
      </x:c>
    </x:row>
    <x:row r="265" ht="42" customHeight="1">
      <x:c r="A265" s="9" t="str">
        <x:v>MOU-2020-002</x:v>
      </x:c>
      <x:c r="B265" s="9" t="str">
        <x:v>MoU_University of Southern Queensland_Australia_2020</x:v>
      </x:c>
      <x:c r="C265" s="7" t="n">
        <x:v>2</x:v>
      </x:c>
      <x:c r="D265" s="13" t="str">
        <x:v>University of Southern Queensland</x:v>
      </x:c>
      <x:c r="E265" s="13" t="str">
        <x:v>Australia</x:v>
      </x:c>
      <x:c r="F265" s="13" t="str">
        <x:v>a) Articulation Programs
b) Dual Award Arrangement
c) Academic and Student Mobility</x:v>
      </x:c>
      <x:c r="G265" s="11" t="n">
        <x:v>44145.5</x:v>
      </x:c>
      <x:c r="H265" s="11" t="n">
        <x:v>45971.5</x:v>
      </x:c>
      <x:c r="I265" s="7" t="str">
        <x:f>TEXT(G265,"dd mmm yyyy")&amp;" – "&amp;TEXT(H265,"dd mmm yyyy")</x:f>
        <x:v>10 Nov 2020 – 10 Nov 2025</x:v>
      </x:c>
      <x:c r="J265" s="7" t="str">
        <x:f>IF(H265&lt;TODAY(),"Expired","Active")</x:f>
        <x:v>Expired</x:v>
      </x:c>
      <x:c r="K265" s="15" t="str">
        <x:v>https://drive.google.com/file/d/1pfmb706Qq8AXq4NjJ03UulovxvcRkUNg/view?usp=drive_link</x:v>
      </x:c>
    </x:row>
    <x:row r="266" ht="42" customHeight="1">
      <x:c r="A266" s="9" t="str">
        <x:v>MOU-2020-003</x:v>
      </x:c>
      <x:c r="B266" s="9" t="str">
        <x:v>MoU_Ilocos Sur Polytechnic State College_Philippines_2020</x:v>
      </x:c>
      <x:c r="C266" s="7" t="n">
        <x:v>3</x:v>
      </x:c>
      <x:c r="D266" s="13" t="str">
        <x:v>Ilocos Sur Polytechnic State College</x:v>
      </x:c>
      <x:c r="E266" s="13" t="str">
        <x:v>Philippines</x:v>
      </x:c>
      <x:c r="F266" s="13" t="str">
        <x:v>a) Promotion and conduct of joint research and extension activities
b) Exchange of undergraduate and graduate students
c) Exchange of faculty members and administrative staffs
d) Exchange of research outcomes, academic publications, and other academic information
e) Other academic and educational exchange programs approved as suitable by both Parties</x:v>
      </x:c>
      <x:c r="G266" s="11" t="n">
        <x:v>44141.5</x:v>
      </x:c>
      <x:c r="H266" s="11" t="n">
        <x:v>45966.5</x:v>
      </x:c>
      <x:c r="I266" s="7" t="str">
        <x:f>TEXT(G266,"dd mmm yyyy")&amp;" – "&amp;TEXT(H266,"dd mmm yyyy")</x:f>
        <x:v>06 Nov 2020 – 05 Nov 2025</x:v>
      </x:c>
      <x:c r="J266" s="7" t="str">
        <x:f>IF(H266&lt;TODAY(),"Expired","Active")</x:f>
        <x:v>Expired</x:v>
      </x:c>
      <x:c r="K266" s="15" t="str">
        <x:v>https://drive.google.com/file/d/1ozldlkzLGyqC4RQIwXfso46Mv9vh7Khc/view?usp=drive_link</x:v>
      </x:c>
    </x:row>
    <x:row r="267" ht="42" customHeight="1">
      <x:c r="A267" s="9" t="str">
        <x:v>MOU-2020-004</x:v>
      </x:c>
      <x:c r="B267" s="9" t="str">
        <x:v>MoU_Universiti Tun Hussein Onn Malaysia (UTHM)_Malaysia_2020</x:v>
      </x:c>
      <x:c r="C267" s="7" t="n">
        <x:v>4</x:v>
      </x:c>
      <x:c r="D267" s="13" t="str">
        <x:v>Universiti Tun Hussein Onn Malaysia (UTHM)</x:v>
      </x:c>
      <x:c r="E267" s="13" t="str">
        <x:v>Malaysia</x:v>
      </x:c>
      <x:c r="F267" s="13" t="str">
        <x:v>1. The exchange of academic and administrative staffs
2. The exchange of students
3. joint research on scientific and technological subjects
4. joint scientific and technological meetings, symposiums and lectures
5. the exchange of academic findings, publication and other academic and educational information as apropriate 
6. any other areas of co-operation</x:v>
      </x:c>
      <x:c r="G267" s="11" t="n">
        <x:v>44136.5</x:v>
      </x:c>
      <x:c r="H267" s="11" t="n">
        <x:v>45962.5</x:v>
      </x:c>
      <x:c r="I267" s="7" t="str">
        <x:f>TEXT(G267,"dd mmm yyyy")&amp;" – "&amp;TEXT(H267,"dd mmm yyyy")</x:f>
        <x:v>01 Nov 2020 – 01 Nov 2025</x:v>
      </x:c>
      <x:c r="J267" s="7" t="str">
        <x:f>IF(H267&lt;TODAY(),"Expired","Active")</x:f>
        <x:v>Expired</x:v>
      </x:c>
      <x:c r="K267" s="15" t="str">
        <x:v>https://drive.google.com/file/d/1FOGIHFXDVrSLKmNrV-ddgwDMUOvaM2fF/view?usp=drive_link</x:v>
      </x:c>
    </x:row>
    <x:row r="268" ht="42" customHeight="1">
      <x:c r="A268" s="9" t="str">
        <x:v>MOU-2020-005</x:v>
      </x:c>
      <x:c r="B268" s="9" t="str">
        <x:v>MoU_University of Technology Sydney_Australia_2020</x:v>
      </x:c>
      <x:c r="C268" s="7" t="n">
        <x:v>5</x:v>
      </x:c>
      <x:c r="D268" s="13" t="str">
        <x:v>University of Technology Sydney</x:v>
      </x:c>
      <x:c r="E268" s="13" t="str">
        <x:v>Australia</x:v>
      </x:c>
      <x:c r="F268" s="13" t="str">
        <x:v>a. Visits by and exchange of students for the purposes of study and research;
b. Visits by and interchange of staff for the purposes of research, teaching and discussions;
c. Exchange of information including, but not limited to, exchange of library materials and research publications;
d. Joint research activities;
e. Joint participation in internationally funded projects;
f. Joint course development and delivery; and
g. Participation in seminars and academic meetings for staff.</x:v>
      </x:c>
      <x:c r="G268" s="11" t="n">
        <x:v>44125.5</x:v>
      </x:c>
      <x:c r="H268" s="11" t="n">
        <x:v>45951.5</x:v>
      </x:c>
      <x:c r="I268" s="7" t="str">
        <x:f>TEXT(G268,"dd mmm yyyy")&amp;" – "&amp;TEXT(H268,"dd mmm yyyy")</x:f>
        <x:v>21 Oct 2020 – 21 Oct 2025</x:v>
      </x:c>
      <x:c r="J268" s="7" t="str">
        <x:f>IF(H268&lt;TODAY(),"Expired","Active")</x:f>
        <x:v>Expired</x:v>
      </x:c>
      <x:c r="K268" s="15" t="str">
        <x:v>https://drive.google.com/file/d/1t5aLlOGGWioFBBcMWXm-AdlZUHpRH9KV/view?usp=drive_link</x:v>
      </x:c>
    </x:row>
    <x:row r="269" ht="42" customHeight="1">
      <x:c r="A269" s="9" t="str">
        <x:v>MOU-2020-006</x:v>
      </x:c>
      <x:c r="B269" s="9" t="str">
        <x:v>MoU_Saga University_Japan_2020</x:v>
      </x:c>
      <x:c r="C269" s="7" t="n">
        <x:v>6</x:v>
      </x:c>
      <x:c r="D269" s="13" t="str">
        <x:v>Saga University</x:v>
      </x:c>
      <x:c r="E269" s="13" t="str">
        <x:v>Japan</x:v>
      </x:c>
      <x:c r="F269" s="13" t="str">
        <x:v>(a) Exchange of faculty and staff members
(b) Exchange of students
(c) Exchange of publications and relevant academic and scholarly information
(d) Joint research, lectures and symposia
(e) Other activities deemed appropriate by mutual consent</x:v>
      </x:c>
      <x:c r="G269" s="11" t="n">
        <x:v>44104.5</x:v>
      </x:c>
      <x:c r="H269" s="11" t="n">
        <x:v>45930.5</x:v>
      </x:c>
      <x:c r="I269" s="7" t="str">
        <x:f>TEXT(G269,"dd mmm yyyy")&amp;" – "&amp;TEXT(H269,"dd mmm yyyy")</x:f>
        <x:v>30 Sep 2020 – 30 Sep 2025</x:v>
      </x:c>
      <x:c r="J269" s="7" t="str">
        <x:f>IF(H269&lt;TODAY(),"Expired","Active")</x:f>
        <x:v>Expired</x:v>
      </x:c>
      <x:c r="K269" s="15" t="str">
        <x:v>https://drive.google.com/file/d/1gXntgPaBA1vvtxzyXaMOOoNDUfS2xkYY/view?usp=drive_link</x:v>
      </x:c>
    </x:row>
    <x:row r="270" ht="42" customHeight="1">
      <x:c r="A270" s="9" t="str">
        <x:v>MOU-2020-007</x:v>
      </x:c>
      <x:c r="B270" s="9" t="str">
        <x:v>MoU_Prefectural University of Kumamoto_Japan_2020</x:v>
      </x:c>
      <x:c r="C270" s="7" t="n">
        <x:v>7</x:v>
      </x:c>
      <x:c r="D270" s="13" t="str">
        <x:v>Prefectural University of Kumamoto</x:v>
      </x:c>
      <x:c r="E270" s="13" t="str">
        <x:v>Japan</x:v>
      </x:c>
      <x:c r="F270" s="13" t="str">
        <x:v>a) Exchange of faculty members and students;
b) Exchange of academic literature and information;
c) Collaborative research;
d) Any other activities to be decided on the basis of mutual agreement by both universities</x:v>
      </x:c>
      <x:c r="G270" s="11" t="n">
        <x:v>44071.5</x:v>
      </x:c>
      <x:c r="H270" s="11" t="n">
        <x:v>45897.5</x:v>
      </x:c>
      <x:c r="I270" s="7" t="str">
        <x:f>TEXT(G270,"dd mmm yyyy")&amp;" – "&amp;TEXT(H270,"dd mmm yyyy")</x:f>
        <x:v>28 Aug 2020 – 28 Aug 2025</x:v>
      </x:c>
      <x:c r="J270" s="7" t="str">
        <x:f>IF(H270&lt;TODAY(),"Expired","Active")</x:f>
        <x:v>Expired</x:v>
      </x:c>
      <x:c r="K270" s="15" t="str">
        <x:v>https://drive.google.com/file/d/10kqjudU-rhunQsvpoNmfCm6idkPpEm-d/view?usp=drive_link</x:v>
      </x:c>
    </x:row>
    <x:row r="271" ht="42" customHeight="1">
      <x:c r="A271" s="9" t="str">
        <x:v>MOU-2020-008</x:v>
      </x:c>
      <x:c r="B271" s="9" t="str">
        <x:v>MoU_Nagoya City University_Japan_2020</x:v>
      </x:c>
      <x:c r="C271" s="7" t="n">
        <x:v>8</x:v>
      </x:c>
      <x:c r="D271" s="13" t="str">
        <x:v>Nagoya City University</x:v>
      </x:c>
      <x:c r="E271" s="13" t="str">
        <x:v>Japan</x:v>
      </x:c>
      <x:c r="F271" s="13" t="str">
        <x:v>(1) Exchange of faculty members and research fellows
(2) Exchange of students
(3) Exchange of academic materials, publications and information
(4) Conducting joint research projects and organizing symposiums</x:v>
      </x:c>
      <x:c r="G271" s="11" t="n">
        <x:v>44032.5</x:v>
      </x:c>
      <x:c r="H271" s="11" t="n">
        <x:v>45858.5</x:v>
      </x:c>
      <x:c r="I271" s="7" t="str">
        <x:f>TEXT(G271,"dd mmm yyyy")&amp;" – "&amp;TEXT(H271,"dd mmm yyyy")</x:f>
        <x:v>20 Jul 2020 – 20 Jul 2025</x:v>
      </x:c>
      <x:c r="J271" s="7" t="str">
        <x:f>IF(H271&lt;TODAY(),"Expired","Active")</x:f>
        <x:v>Expired</x:v>
      </x:c>
      <x:c r="K271" s="15" t="str">
        <x:v>https://drive.google.com/file/d/1dONRLroSqVxTTmxlzdt_4J5ku1J0-GZ9/view?usp=drive_link</x:v>
      </x:c>
    </x:row>
    <x:row r="272" ht="42" customHeight="1">
      <x:c r="A272" s="9" t="str">
        <x:v>MOU-2020-009</x:v>
      </x:c>
      <x:c r="B272" s="9" t="str">
        <x:v>MoU_Southeast Asian Regional Center For Graduate Study and Research in Agriculture (SEARCA)_Philippines_2020</x:v>
      </x:c>
      <x:c r="C272" s="7" t="n">
        <x:v>9</x:v>
      </x:c>
      <x:c r="D272" s="13" t="str">
        <x:v>Southeast Asian Regional Center For Graduate Study and Research in Agriculture (SEARCA)</x:v>
      </x:c>
      <x:c r="E272" s="13" t="str">
        <x:v>Philippines</x:v>
      </x:c>
      <x:c r="F272" s="13" t="str">
        <x:v>1) Collaborate on undertaking programs, projects, and other related activities whenever and wherever feasible opportunities present themselves
2) Exchange scientific materials, publications, and information
3) Execute separate agreements in writing for any undertaking to be jointly implemented, wherein sharing of responsibilities shall be specified</x:v>
      </x:c>
      <x:c r="G272" s="11" t="n">
        <x:v>44013.5</x:v>
      </x:c>
      <x:c r="H272" s="11" t="n">
        <x:v>45474.5</x:v>
      </x:c>
      <x:c r="I272" s="7" t="str">
        <x:f>TEXT(G272,"dd mmm yyyy")&amp;" – "&amp;TEXT(H272,"dd mmm yyyy")</x:f>
        <x:v>01 Jul 2020 – 01 Jul 2024</x:v>
      </x:c>
      <x:c r="J272" s="7" t="str">
        <x:f>IF(H272&lt;TODAY(),"Expired","Active")</x:f>
        <x:v>Expired</x:v>
      </x:c>
      <x:c r="K272" s="15" t="str">
        <x:v>https://drive.google.com/file/d/1VBbXXTrSp1c81KU2vltctX-yeeuWWzCX/view?usp=drive_link</x:v>
      </x:c>
    </x:row>
    <x:row r="273" ht="42" customHeight="1">
      <x:c r="A273" s="9" t="str">
        <x:v>MOU-2020-010</x:v>
      </x:c>
      <x:c r="B273" s="9" t="str">
        <x:v>MoU_Chiang Mai Rajabhat University Thailand_Thailand_2020</x:v>
      </x:c>
      <x:c r="C273" s="7" t="n">
        <x:v>10</x:v>
      </x:c>
      <x:c r="D273" s="13" t="str">
        <x:v>Chiang Mai Rajabhat University Thailand</x:v>
      </x:c>
      <x:c r="E273" s="13" t="str">
        <x:v>Thailand</x:v>
      </x:c>
      <x:c r="F273" s="13" t="str">
        <x:v>1) Exchange of Faculty and or Staff 
2) Exchange of Graduate and or Undergraduate Students 
3) Exchange of Scientific Materials Publications and Information 
4) Exchange of Cultural Activities 
5) Joint Conferences and Academic Program
6) Joint Research Activites and Publications</x:v>
      </x:c>
      <x:c r="G273" s="11" t="n">
        <x:v>43994.5</x:v>
      </x:c>
      <x:c r="H273" s="11" t="n">
        <x:v>45820.5</x:v>
      </x:c>
      <x:c r="I273" s="7" t="str">
        <x:f>TEXT(G273,"dd mmm yyyy")&amp;" – "&amp;TEXT(H273,"dd mmm yyyy")</x:f>
        <x:v>12 Jun 2020 – 12 Jun 2025</x:v>
      </x:c>
      <x:c r="J273" s="7" t="str">
        <x:f>IF(H273&lt;TODAY(),"Expired","Active")</x:f>
        <x:v>Expired</x:v>
      </x:c>
      <x:c r="K273" s="15" t="str">
        <x:v>https://drive.google.com/file/d/1Re_YdB039W04hJZy0Wdaco4i0B3UT_gP/view?usp=drive_link</x:v>
      </x:c>
    </x:row>
    <x:row r="274" ht="42" customHeight="1">
      <x:c r="A274" s="9" t="str">
        <x:v>MOU-2020-011</x:v>
      </x:c>
      <x:c r="B274" s="9" t="str">
        <x:v>MoU_Rikkyo University_Japan_2020</x:v>
      </x:c>
      <x:c r="C274" s="7" t="n">
        <x:v>11</x:v>
      </x:c>
      <x:c r="D274" s="13" t="str">
        <x:v>Rikkyo University</x:v>
      </x:c>
      <x:c r="E274" s="13" t="str">
        <x:v>Japan</x:v>
      </x:c>
      <x:c r="F274" s="13" t="str">
        <x:v>1. Exchange of Academic Staffs
2. Collaboration in Education
3. Collaboration in Research</x:v>
      </x:c>
      <x:c r="G274" s="11" t="n">
        <x:v>43978.5</x:v>
      </x:c>
      <x:c r="H274" s="11" t="n">
        <x:v>45804.5</x:v>
      </x:c>
      <x:c r="I274" s="7" t="str">
        <x:f>TEXT(G274,"dd mmm yyyy")&amp;" – "&amp;TEXT(H274,"dd mmm yyyy")</x:f>
        <x:v>27 May 2020 – 27 May 2025</x:v>
      </x:c>
      <x:c r="J274" s="7" t="str">
        <x:f>IF(H274&lt;TODAY(),"Expired","Active")</x:f>
        <x:v>Expired</x:v>
      </x:c>
      <x:c r="K274" s="15" t="str">
        <x:v>https://drive.google.com/file/d/1pmpC8Dj9QWH1y3KJ0v4K4XMgfCp7pbHq/view?usp=drive_link</x:v>
      </x:c>
    </x:row>
    <x:row r="275" ht="42" customHeight="1">
      <x:c r="A275" s="9" t="str">
        <x:v>MOU-2020-012</x:v>
      </x:c>
      <x:c r="B275" s="9" t="str">
        <x:v>MoU_Common Seas_United Kingdom_2020</x:v>
      </x:c>
      <x:c r="C275" s="7" t="n">
        <x:v>12</x:v>
      </x:c>
      <x:c r="D275" s="13" t="str">
        <x:v>Common Seas</x:v>
      </x:c>
      <x:c r="E275" s="13" t="str">
        <x:v>United Kingdom</x:v>
      </x:c>
      <x:c r="F275" s="13" t="str">
        <x:v>1) Collaborative Research
2) Any Other Activities to be Decided on the Basis of the Mutual Agreement by Both Parties</x:v>
      </x:c>
      <x:c r="G275" s="11" t="n">
        <x:v>43923.5</x:v>
      </x:c>
      <x:c r="H275" s="11" t="n">
        <x:v>44653.5</x:v>
      </x:c>
      <x:c r="I275" s="7" t="str">
        <x:f>TEXT(G275,"dd mmm yyyy")&amp;" – "&amp;TEXT(H275,"dd mmm yyyy")</x:f>
        <x:v>02 Apr 2020 – 02 Apr 2022</x:v>
      </x:c>
      <x:c r="J275" s="7" t="str">
        <x:f>IF(H275&lt;TODAY(),"Expired","Active")</x:f>
        <x:v>Expired</x:v>
      </x:c>
      <x:c r="K275" s="15" t="str">
        <x:v>https://drive.google.com/file/d/1ZH_uxf4EZqkZG4TPOeVf7Poa--ZNC301/view?usp=drive_link</x:v>
      </x:c>
    </x:row>
    <x:row r="276" ht="42" customHeight="1">
      <x:c r="A276" s="9" t="str">
        <x:v>MOU-2020-013</x:v>
      </x:c>
      <x:c r="B276" s="9" t="str">
        <x:v>MoU_ASIA e University Malaysia_Malaysia_2020</x:v>
      </x:c>
      <x:c r="C276" s="7" t="n">
        <x:v>13</x:v>
      </x:c>
      <x:c r="D276" s="13" t="str">
        <x:v>ASIA e University Malaysia</x:v>
      </x:c>
      <x:c r="E276" s="13" t="str">
        <x:v>Malaysia</x:v>
      </x:c>
      <x:c r="F276" s="13" t="str">
        <x:v>1) Joint Academic Program-Exchange Academic Members
2) Provide Opportunities to Participate In Conferences Symposia Etc-Exchange Professor
3) Visit Academic Members</x:v>
      </x:c>
      <x:c r="G276" s="11" t="n">
        <x:v>43886.5</x:v>
      </x:c>
      <x:c r="H276" s="11" t="n">
        <x:v>44982.5</x:v>
      </x:c>
      <x:c r="I276" s="7" t="str">
        <x:f>TEXT(G276,"dd mmm yyyy")&amp;" – "&amp;TEXT(H276,"dd mmm yyyy")</x:f>
        <x:v>25 Feb 2020 – 25 Feb 2023</x:v>
      </x:c>
      <x:c r="J276" s="7" t="str">
        <x:f>IF(H276&lt;TODAY(),"Expired","Active")</x:f>
        <x:v>Expired</x:v>
      </x:c>
      <x:c r="K276" s="15" t="str">
        <x:v>https://drive.google.com/file/d/1ie1z0HKL6_BddZe5PFd8AK9EZTynTcWm/view?usp=drive_link</x:v>
      </x:c>
    </x:row>
    <x:row r="277" ht="42" customHeight="1">
      <x:c r="A277" s="9" t="str">
        <x:v>MOU-2020-014</x:v>
      </x:c>
      <x:c r="B277" s="9" t="str">
        <x:v>MoU_Chonnam National University_South Korea_2020</x:v>
      </x:c>
      <x:c r="C277" s="7" t="n">
        <x:v>14</x:v>
      </x:c>
      <x:c r="D277" s="13" t="str">
        <x:v>Chonnam National University</x:v>
      </x:c>
      <x:c r="E277" s="13" t="str">
        <x:v>South Korea</x:v>
      </x:c>
      <x:c r="F277" s="13" t="str">
        <x:v>1) Development of all courses, as mutually agreed by both parties
2) Exchange of academic materials, as appropriate, for particular joint projects and strengthening of curricula
3) Exchange of staff, research students and resources, and research collaboration in areas of mutual interest
4) Approaches to appropriate government and non-government bodies for funding
5) Collaboration with other universities
6) Assessing possibilities to exchange undergraduate students and
7) Assessing possibilities to organize joint international conferences</x:v>
      </x:c>
      <x:c r="G277" s="11" t="n">
        <x:v>43879.5</x:v>
      </x:c>
      <x:c r="H277" s="11" t="n">
        <x:v>45705.5</x:v>
      </x:c>
      <x:c r="I277" s="7" t="str">
        <x:f>TEXT(G277,"dd mmm yyyy")&amp;" – "&amp;TEXT(H277,"dd mmm yyyy")</x:f>
        <x:v>18 Feb 2020 – 17 Feb 2025</x:v>
      </x:c>
      <x:c r="J277" s="7" t="str">
        <x:f>IF(H277&lt;TODAY(),"Expired","Active")</x:f>
        <x:v>Expired</x:v>
      </x:c>
      <x:c r="K277" s="15" t="str">
        <x:v>https://drive.google.com/file/d/1LRDoaPBAB0HXlLgiMFI1xI8cdaLKR6rT/view?usp=drive_link</x:v>
      </x:c>
    </x:row>
    <x:row r="278" ht="42" customHeight="1">
      <x:c r="A278" s="9" t="str">
        <x:v>MOU-2020-015</x:v>
      </x:c>
      <x:c r="B278" s="9" t="str">
        <x:v>MoU_Asian Forum on Business Education_Australia_2020</x:v>
      </x:c>
      <x:c r="C278" s="7" t="n">
        <x:v>15</x:v>
      </x:c>
      <x:c r="D278" s="13" t="str">
        <x:v>Asian Forum on Business Education</x:v>
      </x:c>
      <x:c r="E278" s="13" t="str">
        <x:v>Australia</x:v>
      </x:c>
      <x:c r="F278" s="13" t="str">
        <x:v>1) AFBE Website Management
2) Cooperative Seminars, Workshop, Conferences and Other Academic Activities
3) Developing International Accreditation</x:v>
      </x:c>
      <x:c r="G278" s="11" t="n">
        <x:v>43876.5</x:v>
      </x:c>
      <x:c r="H278" s="11" t="n">
        <x:v>45703.5</x:v>
      </x:c>
      <x:c r="I278" s="7" t="str">
        <x:f>TEXT(G278,"dd mmm yyyy")&amp;" – "&amp;TEXT(H278,"dd mmm yyyy")</x:f>
        <x:v>15 Feb 2020 – 15 Feb 2025</x:v>
      </x:c>
      <x:c r="J278" s="7" t="str">
        <x:f>IF(H278&lt;TODAY(),"Expired","Active")</x:f>
        <x:v>Expired</x:v>
      </x:c>
      <x:c r="K278" s="15" t="str">
        <x:v>https://drive.google.com/file/d/1gm3b0ATLTU0sDYD7lHKxQfcjGVfFK-Hp/view?usp=drive_link</x:v>
      </x:c>
    </x:row>
    <x:row r="279" ht="42" customHeight="1">
      <x:c r="A279" s="9" t="str">
        <x:v>MOU-2020-016</x:v>
      </x:c>
      <x:c r="B279" s="9" t="str">
        <x:v>MoU_International Islamic University of Malaysia_Malaysia_2020</x:v>
      </x:c>
      <x:c r="C279" s="7" t="n">
        <x:v>16</x:v>
      </x:c>
      <x:c r="D279" s="13" t="str">
        <x:v>International Islamic University of Malaysia</x:v>
      </x:c>
      <x:c r="E279" s="13" t="str">
        <x:v>Malaysia</x:v>
      </x:c>
      <x:c r="F279" s="13" t="str">
        <x:v>1) Student Exchange for Internship, Joint International Class, and Short Course 
2) Staff Exchange for Internship, Short Course, and Training 
3) Joint Seminar/Conference for Speaker Or Participant 
4) Teaching Learning Process 
5) Staff Development
6) Joint Research Student
7) Staff Collaboration Research
8) Joint Publication 
9) Product Commercialization</x:v>
      </x:c>
      <x:c r="G279" s="11" t="n">
        <x:v>43871.5</x:v>
      </x:c>
      <x:c r="H279" s="11" t="n">
        <x:v>45698.5</x:v>
      </x:c>
      <x:c r="I279" s="7" t="str">
        <x:f>TEXT(G279,"dd mmm yyyy")&amp;" – "&amp;TEXT(H279,"dd mmm yyyy")</x:f>
        <x:v>10 Feb 2020 – 10 Feb 2025</x:v>
      </x:c>
      <x:c r="J279" s="7" t="str">
        <x:f>IF(H279&lt;TODAY(),"Expired","Active")</x:f>
        <x:v>Expired</x:v>
      </x:c>
      <x:c r="K279" s="15" t="str">
        <x:v>https://drive.google.com/file/d/10_I_DJXrxJB2M8QPAMyXMSTwPbMV6jYB/view?usp=drive_link</x:v>
      </x:c>
    </x:row>
    <x:row r="280" ht="42" customHeight="1">
      <x:c r="A280" s="9" t="str">
        <x:v>MOU-2020-017</x:v>
      </x:c>
      <x:c r="B280" s="9" t="str">
        <x:v>MoU_International University of Japan_Japan_2020</x:v>
      </x:c>
      <x:c r="C280" s="7" t="n">
        <x:v>17</x:v>
      </x:c>
      <x:c r="D280" s="13" t="str">
        <x:v>International University of Japan</x:v>
      </x:c>
      <x:c r="E280" s="13" t="str">
        <x:v>Japan</x:v>
      </x:c>
      <x:c r="F280" s="13" t="str">
        <x:v>a) Exchange of academic staff
b) Collaboration in Education
c) Collaboration in Research</x:v>
      </x:c>
      <x:c r="G280" s="11" t="n">
        <x:v>43857.5</x:v>
      </x:c>
      <x:c r="H280" s="11" t="n">
        <x:v>45684.5</x:v>
      </x:c>
      <x:c r="I280" s="7" t="str">
        <x:f>TEXT(G280,"dd mmm yyyy")&amp;" – "&amp;TEXT(H280,"dd mmm yyyy")</x:f>
        <x:v>27 Jan 2020 – 27 Jan 2025</x:v>
      </x:c>
      <x:c r="J280" s="7" t="str">
        <x:f>IF(H280&lt;TODAY(),"Expired","Active")</x:f>
        <x:v>Expired</x:v>
      </x:c>
      <x:c r="K280" s="15" t="str">
        <x:v>https://drive.google.com/file/d/1UOLW1linBufI4yICc4Ror8sHLGcx8DS1/view?usp=drive_link</x:v>
      </x:c>
    </x:row>
    <x:row r="281" ht="42" customHeight="1">
      <x:c r="A281" s="9" t="str">
        <x:v>MOU-2020-018</x:v>
      </x:c>
      <x:c r="B281" s="9" t="str">
        <x:v>MoU_Kavayitri Bahinabai Chaudhari North Maharashtra University_India_2020</x:v>
      </x:c>
      <x:c r="C281" s="7" t="n">
        <x:v>19</x:v>
      </x:c>
      <x:c r="D281" s="13" t="str">
        <x:v>Kavayitri Bahinabai Chaudhari North Maharashtra University</x:v>
      </x:c>
      <x:c r="E281" s="13" t="str">
        <x:v>India</x:v>
      </x:c>
      <x:c r="F281" s="13" t="str">
        <x:v>1) Exchange of Scientists, Technologiest and Faculty Members through Ongoing and New Program
2) Exchange of Scientific Literature Information and Methodology 
3) Exchange of Scientific Equipment as Available And Required In Program Of Common Interests As May Be Mutually Agreed Upon
4) Development and Implementation of Collaborative Research Projects, The Areas and Methodology to be as Mutually Agreed Upon
5) Exchange of Students</x:v>
      </x:c>
      <x:c r="G281" s="11" t="n">
        <x:v>43844.5</x:v>
      </x:c>
      <x:c r="H281" s="11" t="n">
        <x:v>45671.5</x:v>
      </x:c>
      <x:c r="I281" s="7" t="str">
        <x:f>TEXT(G281,"dd mmm yyyy")&amp;" – "&amp;TEXT(H281,"dd mmm yyyy")</x:f>
        <x:v>14 Jan 2020 – 14 Jan 2025</x:v>
      </x:c>
      <x:c r="J281" s="7" t="str">
        <x:f>IF(H281&lt;TODAY(),"Expired","Active")</x:f>
        <x:v>Expired</x:v>
      </x:c>
      <x:c r="K281" s="15" t="str">
        <x:v>https://drive.google.com/file/d/1VHP5M8B3qTW_KYHpr57DeXdYLUOh14Xr/view?usp=drive_link</x:v>
      </x:c>
    </x:row>
    <x:row r="282" ht="42" customHeight="1">
      <x:c r="A282" s="9" t="str">
        <x:v>MOU-2020-019</x:v>
      </x:c>
      <x:c r="B282" s="9" t="str">
        <x:v>MoU_Semmelweis University_Hungary_2020</x:v>
      </x:c>
      <x:c r="C282" s="7" t="n">
        <x:v>18</x:v>
      </x:c>
      <x:c r="D282" s="13" t="str">
        <x:v>Semmelweis University</x:v>
      </x:c>
      <x:c r="E282" s="13" t="str">
        <x:v>Hungary</x:v>
      </x:c>
      <x:c r="F282" s="13" t="str">
        <x:v>1) Development of join course program including exchange of credits
2) Exchange program for students, faculties, and staffs
3) Visiting professors
4) Joint conferences, seminars, and workshop including capacity building and trainings
5) Collaborative research and publications
6) Post doctoral programs
7) Any other activities</x:v>
      </x:c>
      <x:c r="G282" s="11" t="n">
        <x:v>43844.5</x:v>
      </x:c>
      <x:c r="H282" s="11" t="n">
        <x:v>45671.5</x:v>
      </x:c>
      <x:c r="I282" s="7" t="str">
        <x:f>TEXT(G282,"dd mmm yyyy")&amp;" – "&amp;TEXT(H282,"dd mmm yyyy")</x:f>
        <x:v>14 Jan 2020 – 14 Jan 2025</x:v>
      </x:c>
      <x:c r="J282" s="7" t="str">
        <x:f>IF(H282&lt;TODAY(),"Expired","Active")</x:f>
        <x:v>Expired</x:v>
      </x:c>
      <x:c r="K282" s="15" t="str">
        <x:v>https://drive.google.com/file/d/1aFJ62XjiCuk-5vpjYUHD6HddaBxhvppr/view?usp=drive_link</x:v>
      </x:c>
    </x:row>
    <x:row r="283" ht="42" customHeight="1">
      <x:c r="A283" s="9" t="str">
        <x:v>MOU-2020-020</x:v>
      </x:c>
      <x:c r="B283" s="9" t="str">
        <x:v>MoU_Busan University of Foreign Studies (BUFS)_South Korea_2020</x:v>
      </x:c>
      <x:c r="C283" s="7" t="n">
        <x:v>21</x:v>
      </x:c>
      <x:c r="D283" s="13" t="str">
        <x:v>Busan University of Foreign Studies (BUFS)</x:v>
      </x:c>
      <x:c r="E283" s="13" t="str">
        <x:v>South Korea</x:v>
      </x:c>
      <x:c r="F283" s="13" t="str">
        <x:v>1) Exchange of faculty researchers and other research and administrative staff 
2) Exchange of students  
3) Conducting collaborative academic projects  
4) Conducting collaborative research projects 
5) Conducting lecturers and organizing symposia 
6) Promoting other academic cooperation as mutually agreed</x:v>
      </x:c>
      <x:c r="G283" s="11" t="n">
        <x:v>43840.5</x:v>
      </x:c>
      <x:c r="H283" s="11" t="n">
        <x:v>45667.5</x:v>
      </x:c>
      <x:c r="I283" s="7" t="str">
        <x:f>TEXT(G283,"dd mmm yyyy")&amp;" – "&amp;TEXT(H283,"dd mmm yyyy")</x:f>
        <x:v>10 Jan 2020 – 10 Jan 2025</x:v>
      </x:c>
      <x:c r="J283" s="7" t="str">
        <x:f>IF(H283&lt;TODAY(),"Expired","Active")</x:f>
        <x:v>Expired</x:v>
      </x:c>
      <x:c r="K283" s="15" t="str">
        <x:v>https://drive.google.com/file/d/1gv11c6dI0yjk-ijoJ1a-3gNRAWnBUBvg/view?usp=drive_link</x:v>
      </x:c>
    </x:row>
    <x:row r="284" ht="42" customHeight="1">
      <x:c r="A284" s="9" t="str">
        <x:v>MOU-2020-021</x:v>
      </x:c>
      <x:c r="B284" s="9" t="str">
        <x:v>MoU_Tamil Nadu Agricultural University_India_2020</x:v>
      </x:c>
      <x:c r="C284" s="7" t="n">
        <x:v>20</x:v>
      </x:c>
      <x:c r="D284" s="13" t="str">
        <x:v>Tamil Nadu Agricultural University</x:v>
      </x:c>
      <x:c r="E284" s="13" t="str">
        <x:v>India</x:v>
      </x:c>
      <x:c r="F284" s="13" t="str">
        <x:v>1) Exchange of Scientists and Technologists through Ongoing and New Program
2) Exchange Scientific Literature Information and Methodology
3) Exchange Scientific Equipment as Available and Mutually Agreed Upon 
4) Development of Collaborative Research Projects 
5) Exchange of Students</x:v>
      </x:c>
      <x:c r="G284" s="11" t="n">
        <x:v>43840.5</x:v>
      </x:c>
      <x:c r="H284" s="11" t="n">
        <x:v>45667.5</x:v>
      </x:c>
      <x:c r="I284" s="7" t="str">
        <x:f>TEXT(G284,"dd mmm yyyy")&amp;" – "&amp;TEXT(H284,"dd mmm yyyy")</x:f>
        <x:v>10 Jan 2020 – 10 Jan 2025</x:v>
      </x:c>
      <x:c r="J284" s="7" t="str">
        <x:f>IF(H284&lt;TODAY(),"Expired","Active")</x:f>
        <x:v>Expired</x:v>
      </x:c>
      <x:c r="K284" s="15" t="str">
        <x:v>https://drive.google.com/file/d/1UAhubr-H-lWPeI5Iqg8chvZG1CpoUUfj/view?usp=drive_link</x:v>
      </x:c>
    </x:row>
    <x:row r="285" ht="42" customHeight="1">
      <x:c r="A285" s="9" t="str">
        <x:v>MOU-2020-022</x:v>
      </x:c>
      <x:c r="B285" s="9" t="str">
        <x:v>MoU_Universal Scientific Education and Research_Iran_2020</x:v>
      </x:c>
      <x:c r="C285" s="7" t="n">
        <x:v>22</x:v>
      </x:c>
      <x:c r="D285" s="13" t="str">
        <x:v>Universal Scientific Education and Research</x:v>
      </x:c>
      <x:c r="E285" s="13" t="str">
        <x:v>Iran</x:v>
      </x:c>
      <x:c r="F285" s="13" t="str">
        <x:v>1) Coordinating scientific programs
2) Exchanging and training of scientists and researchers
3) Sharing information and technology in support of educational and research activities
4) Exchanging information and academics
5) Holding meetings, workshops, and scientific conferences</x:v>
      </x:c>
      <x:c r="G285" s="11" t="n">
        <x:v>43833.5</x:v>
      </x:c>
      <x:c r="H285" s="11" t="n">
        <x:v>44194.5</x:v>
      </x:c>
      <x:c r="I285" s="7" t="str">
        <x:f>TEXT(G285,"dd mmm yyyy")&amp;" – "&amp;TEXT(H285,"dd mmm yyyy")</x:f>
        <x:v>03 Jan 2020 – 29 Dec 2020</x:v>
      </x:c>
      <x:c r="J285" s="7" t="str">
        <x:f>IF(H285&lt;TODAY(),"Expired","Active")</x:f>
        <x:v>Expired</x:v>
      </x:c>
      <x:c r="K285" s="15" t="str">
        <x:v>https://drive.google.com/file/d/1qlvtOv8qc6llwBTXfSn8U89y4FxH-xib/view?usp=drive_link</x:v>
      </x:c>
    </x:row>
    <x:row r="286" ht="42" customHeight="1">
      <x:c r="A286" s="9" t="str">
        <x:v>MOU-2019-001</x:v>
      </x:c>
      <x:c r="B286" s="9" t="str">
        <x:v>MoU_Pathumthani University_Thailand_2019</x:v>
      </x:c>
      <x:c r="C286" s="7" t="n">
        <x:v>1</x:v>
      </x:c>
      <x:c r="D286" s="13" t="str">
        <x:v>Pathumthani University</x:v>
      </x:c>
      <x:c r="E286" s="13" t="str">
        <x:v>Thailand</x:v>
      </x:c>
      <x:c r="F286" s="13" t="str">
        <x:v>1) Exchange of Faculty and Staff Members
2) Exchange of Student
3) Exchange of Publications and Relevant Academic and Scholarly Information
4) Joint Research Lectures and Symposia</x:v>
      </x:c>
      <x:c r="G286" s="11" t="n">
        <x:v>43830.5</x:v>
      </x:c>
      <x:c r="H286" s="11" t="n">
        <x:v>45657.5</x:v>
      </x:c>
      <x:c r="I286" s="7" t="str">
        <x:f>TEXT(G286,"dd mmm yyyy")&amp;" – "&amp;TEXT(H286,"dd mmm yyyy")</x:f>
        <x:v>31 Dec 2019 – 31 Dec 2024</x:v>
      </x:c>
      <x:c r="J286" s="7" t="str">
        <x:f>IF(H286&lt;TODAY(),"Expired","Active")</x:f>
        <x:v>Expired</x:v>
      </x:c>
      <x:c r="K286" s="15" t="str">
        <x:v>https://drive.google.com/file/d/1eBnZtJIw4a6JmvcOPU8cy2wZzf-mHQDN/view?usp=drive_link</x:v>
      </x:c>
    </x:row>
    <x:row r="287" ht="42" customHeight="1">
      <x:c r="A287" s="9" t="str">
        <x:v>MOU-2019-002</x:v>
      </x:c>
      <x:c r="B287" s="9" t="str">
        <x:v>MoU_KT&amp;G Scholarship Foundation Korea_South Korea_2019</x:v>
      </x:c>
      <x:c r="C287" s="7" t="n">
        <x:v>2</x:v>
      </x:c>
      <x:c r="D287" s="13" t="str">
        <x:v>KT&amp;G Scholarship Foundation Korea</x:v>
      </x:c>
      <x:c r="E287" s="13" t="str">
        <x:v>South Korea</x:v>
      </x:c>
      <x:c r="F287" s="13" t="str">
        <x:v>Scholarship Program</x:v>
      </x:c>
      <x:c r="G287" s="11" t="n">
        <x:v>43819.5</x:v>
      </x:c>
      <x:c r="H287" s="11" t="n">
        <x:v>44185.5</x:v>
      </x:c>
      <x:c r="I287" s="7" t="str">
        <x:f>TEXT(G287,"dd mmm yyyy")&amp;" – "&amp;TEXT(H287,"dd mmm yyyy")</x:f>
        <x:v>20 Dec 2019 – 20 Dec 2020</x:v>
      </x:c>
      <x:c r="J287" s="7" t="str">
        <x:f>IF(H287&lt;TODAY(),"Expired","Active")</x:f>
        <x:v>Expired</x:v>
      </x:c>
      <x:c r="K287" s="15" t="str">
        <x:v>https://drive.google.com/file/d/17uNOXZftH-UMWiuzBhcaVubPPHNuRlPn/view?usp=drive_link</x:v>
      </x:c>
    </x:row>
    <x:row r="288" ht="42" customHeight="1">
      <x:c r="A288" s="9" t="str">
        <x:v>MOU-2019-003</x:v>
      </x:c>
      <x:c r="B288" s="9" t="str">
        <x:v>MoU_The Institute of Polytechnic of Betano Kay Rala Xanana Gusmao_Timor-Leste_2019</x:v>
      </x:c>
      <x:c r="C288" s="7" t="n">
        <x:v>3</x:v>
      </x:c>
      <x:c r="D288" s="13" t="str">
        <x:v>The Institute of Polytechnic of Betano Kay Rala Xanana Gusmao</x:v>
      </x:c>
      <x:c r="E288" s="13" t="str">
        <x:v>Timor-Leste</x:v>
      </x:c>
      <x:c r="F288" s="13" t="str">
        <x:v>Develop and Capacity Building Program in Area Agriculture in Timor Leste</x:v>
      </x:c>
      <x:c r="G288" s="11" t="n">
        <x:v>43810.5</x:v>
      </x:c>
      <x:c r="H288" s="11" t="n">
        <x:v>45271.5</x:v>
      </x:c>
      <x:c r="I288" s="7" t="str">
        <x:f>TEXT(G288,"dd mmm yyyy")&amp;" – "&amp;TEXT(H288,"dd mmm yyyy")</x:f>
        <x:v>11 Dec 2019 – 11 Dec 2023</x:v>
      </x:c>
      <x:c r="J288" s="7" t="str">
        <x:f>IF(H288&lt;TODAY(),"Expired","Active")</x:f>
        <x:v>Expired</x:v>
      </x:c>
      <x:c r="K288" s="15" t="str">
        <x:v>https://drive.google.com/file/d/1gTbAkppHo8StiizPVLV-iR0nl6l6wD7g/view?usp=drive_link</x:v>
      </x:c>
    </x:row>
    <x:row r="289" ht="42" customHeight="1">
      <x:c r="A289" s="9" t="str">
        <x:v>MOU-2019-004</x:v>
      </x:c>
      <x:c r="B289" s="9" t="str">
        <x:v>MoU_The Institute of Chartered Accountants in England or Wales_United Kingdom_2019</x:v>
      </x:c>
      <x:c r="C289" s="7" t="n">
        <x:v>4</x:v>
      </x:c>
      <x:c r="D289" s="13" t="str">
        <x:v>The Institute of Chartered Accountants in England or Wales</x:v>
      </x:c>
      <x:c r="E289" s="13" t="str">
        <x:v>United Kingdom</x:v>
      </x:c>
      <x:c r="F289" s="13" t="str">
        <x:v>To Enhance the Existing Good Relations and Cooperation between the Parties and to Provide a Route to the ICAEW CFAB for UB Student</x:v>
      </x:c>
      <x:c r="G289" s="11" t="n">
        <x:v>43797.5</x:v>
      </x:c>
      <x:c r="H289" s="11" t="n">
        <x:v>44893.5</x:v>
      </x:c>
      <x:c r="I289" s="7" t="str">
        <x:f>TEXT(G289,"dd mmm yyyy")&amp;" – "&amp;TEXT(H289,"dd mmm yyyy")</x:f>
        <x:v>28 Nov 2019 – 28 Nov 2022</x:v>
      </x:c>
      <x:c r="J289" s="7" t="str">
        <x:f>IF(H289&lt;TODAY(),"Expired","Active")</x:f>
        <x:v>Expired</x:v>
      </x:c>
      <x:c r="K289" s="15" t="str">
        <x:v>https://drive.google.com/file/d/1axiulTBbqO-GMrDuPXBDTiLSZL78zmQg/view?usp=drive_link</x:v>
      </x:c>
    </x:row>
    <x:row r="290" ht="42" customHeight="1">
      <x:c r="A290" s="9" t="str">
        <x:v>MOU-2019-005</x:v>
      </x:c>
      <x:c r="B290" s="9" t="str">
        <x:v>MoU_University of Miyazaki_Japan_2019</x:v>
      </x:c>
      <x:c r="C290" s="7" t="n">
        <x:v>5</x:v>
      </x:c>
      <x:c r="D290" s="13" t="str">
        <x:v>University of Miyazaki</x:v>
      </x:c>
      <x:c r="E290" s="13" t="str">
        <x:v>Japan</x:v>
      </x:c>
      <x:c r="F290" s="13" t="str">
        <x:v>Double Degree Program</x:v>
      </x:c>
      <x:c r="G290" s="11" t="n">
        <x:v>43788.5</x:v>
      </x:c>
      <x:c r="H290" s="11" t="n">
        <x:v>45615.5</x:v>
      </x:c>
      <x:c r="I290" s="7" t="str">
        <x:f>TEXT(G290,"dd mmm yyyy")&amp;" – "&amp;TEXT(H290,"dd mmm yyyy")</x:f>
        <x:v>19 Nov 2019 – 19 Nov 2024</x:v>
      </x:c>
      <x:c r="J290" s="7" t="str">
        <x:f>IF(H290&lt;TODAY(),"Expired","Active")</x:f>
        <x:v>Expired</x:v>
      </x:c>
      <x:c r="K290" s="15" t="str">
        <x:v>https://drive.google.com/file/d/1gQ_8-Cve9l4qjqOvD9trfgqkjAYVbwHV/view?usp=drive_link</x:v>
      </x:c>
    </x:row>
    <x:row r="291" ht="42" customHeight="1">
      <x:c r="A291" s="9" t="str">
        <x:v>MOU-2019-006</x:v>
      </x:c>
      <x:c r="B291" s="9" t="str">
        <x:v>MoU_University Mobility in Asia and the Pacific (UMAP)_Japan_2019</x:v>
      </x:c>
      <x:c r="C291" s="7" t="n">
        <x:v>6</x:v>
      </x:c>
      <x:c r="D291" s="13" t="str">
        <x:v>University Mobility in Asia and the Pacific (UMAP)</x:v>
      </x:c>
      <x:c r="E291" s="13" t="str">
        <x:v>Japan</x:v>
      </x:c>
      <x:c r="F291" s="13" t="str">
        <x:v>Exchange Students</x:v>
      </x:c>
      <x:c r="G291" s="11" t="n">
        <x:v>43768.5</x:v>
      </x:c>
      <x:c r="H291" s="11" t="n">
        <x:v>45595.5</x:v>
      </x:c>
      <x:c r="I291" s="7" t="str">
        <x:f>TEXT(G291,"dd mmm yyyy")&amp;" – "&amp;TEXT(H291,"dd mmm yyyy")</x:f>
        <x:v>30 Oct 2019 – 30 Oct 2024</x:v>
      </x:c>
      <x:c r="J291" s="7" t="str">
        <x:f>IF(H291&lt;TODAY(),"Expired","Active")</x:f>
        <x:v>Expired</x:v>
      </x:c>
      <x:c r="K291" s="15" t="str">
        <x:v>https://drive.google.com/file/d/1s6InEbng6TYe4hLSlFzTDH5oqex1SoNm/view?usp=drive_link</x:v>
      </x:c>
    </x:row>
    <x:row r="292" ht="42" customHeight="1">
      <x:c r="A292" s="9" t="str">
        <x:v>MOU-2019-007</x:v>
      </x:c>
      <x:c r="B292" s="9" t="str">
        <x:v>MoU_Central Philippine University_Philippines_2019</x:v>
      </x:c>
      <x:c r="C292" s="7" t="n">
        <x:v>7</x:v>
      </x:c>
      <x:c r="D292" s="13" t="str">
        <x:v>Central Philippine University</x:v>
      </x:c>
      <x:c r="E292" s="13" t="str">
        <x:v>Philippines</x:v>
      </x:c>
      <x:c r="F292" s="13" t="str">
        <x:v>1. Exchange of faculty members, researchers, and administrative staff.
2. Exchange of students.
3. Implementation of collaborative research projects.
4. Implementation of lectures and symposia.
5. Exchange of academic information and materials.
6. Promotion of other academic cooperation on which they have agreed upon</x:v>
      </x:c>
      <x:c r="G292" s="11" t="n">
        <x:v>43767.5</x:v>
      </x:c>
      <x:c r="H292" s="11" t="n">
        <x:v>45594.5</x:v>
      </x:c>
      <x:c r="I292" s="7" t="str">
        <x:f>TEXT(G292,"dd mmm yyyy")&amp;" – "&amp;TEXT(H292,"dd mmm yyyy")</x:f>
        <x:v>29 Oct 2019 – 29 Oct 2024</x:v>
      </x:c>
      <x:c r="J292" s="7" t="str">
        <x:f>IF(H292&lt;TODAY(),"Expired","Active")</x:f>
        <x:v>Expired</x:v>
      </x:c>
      <x:c r="K292" s="15" t="str">
        <x:v>https://drive.google.com/file/d/1pfDClqRsVbM5Zh58KorqKl7cNj1dcwti/view?usp=drive_link</x:v>
      </x:c>
    </x:row>
    <x:row r="293" ht="42" customHeight="1">
      <x:c r="A293" s="9" t="str">
        <x:v>MOU-2019-008</x:v>
      </x:c>
      <x:c r="B293" s="9" t="str">
        <x:v>MoU_Syngenta Foundation for Sustainable Agriculture_Switzerland_2019</x:v>
      </x:c>
      <x:c r="C293" s="7" t="n">
        <x:v>8</x:v>
      </x:c>
      <x:c r="D293" s="13" t="str">
        <x:v>Syngenta Foundation for Sustainable Agriculture</x:v>
      </x:c>
      <x:c r="E293" s="13" t="str">
        <x:v>Switzerland</x:v>
      </x:c>
      <x:c r="F293" s="13" t="str">
        <x:v>1) Implementation of Education, Research, Community Service and Training
2) Organizing Collaborative research and resource development
3) Organizing scientific activities, scientific studies, seminars, and workshops
4) Improvement and development of human resource competencies
5) Other activities agreed upon by "The Parties"</x:v>
      </x:c>
      <x:c r="G293" s="11" t="n">
        <x:v>43763.5</x:v>
      </x:c>
      <x:c r="H293" s="11" t="n">
        <x:v>44494.5</x:v>
      </x:c>
      <x:c r="I293" s="7" t="str">
        <x:f>TEXT(G293,"dd mmm yyyy")&amp;" – "&amp;TEXT(H293,"dd mmm yyyy")</x:f>
        <x:v>25 Oct 2019 – 25 Oct 2021</x:v>
      </x:c>
      <x:c r="J293" s="7" t="str">
        <x:f>IF(H293&lt;TODAY(),"Expired","Active")</x:f>
        <x:v>Expired</x:v>
      </x:c>
      <x:c r="K293" s="15" t="str">
        <x:v>https://drive.google.com/file/d/138cyAKrCpd97V9GXyjlr6NhMFHl8GuHc/view?usp=drive_link</x:v>
      </x:c>
    </x:row>
    <x:row r="294" ht="42" customHeight="1">
      <x:c r="A294" s="9" t="str">
        <x:v>MOU-2019-009</x:v>
      </x:c>
      <x:c r="B294" s="9" t="str">
        <x:v>MoU_Duy Tan University_Vietnam_2019</x:v>
      </x:c>
      <x:c r="C294" s="7" t="n">
        <x:v>9</x:v>
      </x:c>
      <x:c r="D294" s="13" t="str">
        <x:v>Duy Tan University</x:v>
      </x:c>
      <x:c r="E294" s="13" t="str">
        <x:v>Vietnam</x:v>
      </x:c>
      <x:c r="F294" s="13" t="str">
        <x:v>Student Exchange, Faculty and Scholars Exchange, Collaboration in Scientific Sport and Cultural Affairs</x:v>
      </x:c>
      <x:c r="G294" s="11" t="n">
        <x:v>43756.5</x:v>
      </x:c>
      <x:c r="H294" s="11" t="n">
        <x:v>45583.5</x:v>
      </x:c>
      <x:c r="I294" s="7" t="str">
        <x:f>TEXT(G294,"dd mmm yyyy")&amp;" – "&amp;TEXT(H294,"dd mmm yyyy")</x:f>
        <x:v>18 Oct 2019 – 18 Oct 2024</x:v>
      </x:c>
      <x:c r="J294" s="7" t="str">
        <x:f>IF(H294&lt;TODAY(),"Expired","Active")</x:f>
        <x:v>Expired</x:v>
      </x:c>
      <x:c r="K294" s="15" t="str">
        <x:v>https://drive.google.com/file/d/1VEHnSmNWi_mN9Ia1J4DNlMiLl1tqtC2r/view?usp=drive_link</x:v>
      </x:c>
    </x:row>
    <x:row r="295" ht="42" customHeight="1">
      <x:c r="A295" s="9" t="str">
        <x:v>MOU-2019-010</x:v>
      </x:c>
      <x:c r="B295" s="9" t="str">
        <x:v>MoU_National Center for Genetic Engineering and Biotechnology (BIOTEC)_Thailand_2019</x:v>
      </x:c>
      <x:c r="C295" s="7" t="n">
        <x:v>10</x:v>
      </x:c>
      <x:c r="D295" s="13" t="str">
        <x:v>National Center for Genetic Engineering and Biotechnology (BIOTEC)</x:v>
      </x:c>
      <x:c r="E295" s="13" t="str">
        <x:v>Thailand</x:v>
      </x:c>
      <x:c r="F295" s="13" t="str">
        <x:v>to develop rapid point of care diagnostic devices that will detect Malaria and HIV drug resistance in paper-based devices using isothermal amplification methods and visual readout</x:v>
      </x:c>
      <x:c r="G295" s="11" t="n">
        <x:v>43739.5</x:v>
      </x:c>
      <x:c r="H295" s="11" t="n">
        <x:v>45199.5</x:v>
      </x:c>
      <x:c r="I295" s="7" t="str">
        <x:f>TEXT(G295,"dd mmm yyyy")&amp;" – "&amp;TEXT(H295,"dd mmm yyyy")</x:f>
        <x:v>01 Oct 2019 – 30 Sep 2023</x:v>
      </x:c>
      <x:c r="J295" s="7" t="str">
        <x:f>IF(H295&lt;TODAY(),"Expired","Active")</x:f>
        <x:v>Expired</x:v>
      </x:c>
      <x:c r="K295" s="15" t="str">
        <x:v>https://drive.google.com/file/d/1nlNDfNoVdRg-YFbuXCsH1-wBNngSE0Hv/view?usp=drive_link</x:v>
      </x:c>
    </x:row>
    <x:row r="296" ht="42" customHeight="1">
      <x:c r="A296" s="9" t="str">
        <x:v>MOU-2019-011</x:v>
      </x:c>
      <x:c r="B296" s="9" t="str">
        <x:v>MoU_Samarkand State University_Uzbekistan_2019</x:v>
      </x:c>
      <x:c r="C296" s="7" t="n">
        <x:v>11</x:v>
      </x:c>
      <x:c r="D296" s="13" t="str">
        <x:v>Samarkand State University</x:v>
      </x:c>
      <x:c r="E296" s="13" t="str">
        <x:v>Uzbekistan</x:v>
      </x:c>
      <x:c r="F296" s="13" t="str">
        <x:v>a) Exchange of faculty members and students;
b) Exchange of academic literature and information;
c) Collaborative research;
d) Post-Doctoral Program
e) Any other activities to be decided on the basis of mutual agreement by both universities.</x:v>
      </x:c>
      <x:c r="G296" s="11" t="n">
        <x:v>43738.5</x:v>
      </x:c>
      <x:c r="H296" s="11" t="n">
        <x:v>45565.5</x:v>
      </x:c>
      <x:c r="I296" s="7" t="str">
        <x:f>TEXT(G296,"dd mmm yyyy")&amp;" – "&amp;TEXT(H296,"dd mmm yyyy")</x:f>
        <x:v>30 Sep 2019 – 30 Sep 2024</x:v>
      </x:c>
      <x:c r="J296" s="7" t="str">
        <x:f>IF(H296&lt;TODAY(),"Expired","Active")</x:f>
        <x:v>Expired</x:v>
      </x:c>
      <x:c r="K296" s="15" t="str">
        <x:v>https://drive.google.com/file/d/1Dh9115awPjQrcJbxNeppySzI13mOBnEB/view?usp=drive_link</x:v>
      </x:c>
    </x:row>
    <x:row r="297" ht="42" customHeight="1">
      <x:c r="A297" s="9" t="str">
        <x:v>MOU-2019-012</x:v>
      </x:c>
      <x:c r="B297" s="9" t="str">
        <x:v>MoU_Tohoku University_Japan_2019</x:v>
      </x:c>
      <x:c r="C297" s="7" t="n">
        <x:v>12</x:v>
      </x:c>
      <x:c r="D297" s="13" t="str">
        <x:v>Tohoku University</x:v>
      </x:c>
      <x:c r="E297" s="13" t="str">
        <x:v>Japan</x:v>
      </x:c>
      <x:c r="F297" s="13" t="str">
        <x:v>Student Exchange</x:v>
      </x:c>
      <x:c r="G297" s="11" t="n">
        <x:v>43732.5</x:v>
      </x:c>
      <x:c r="H297" s="11" t="n">
        <x:v>45559.5</x:v>
      </x:c>
      <x:c r="I297" s="7" t="str">
        <x:f>TEXT(G297,"dd mmm yyyy")&amp;" – "&amp;TEXT(H297,"dd mmm yyyy")</x:f>
        <x:v>24 Sep 2019 – 24 Sep 2024</x:v>
      </x:c>
      <x:c r="J297" s="7" t="str">
        <x:f>IF(H297&lt;TODAY(),"Expired","Active")</x:f>
        <x:v>Expired</x:v>
      </x:c>
      <x:c r="K297" s="15" t="str">
        <x:v>https://drive.google.com/file/d/13m1yWknjie9xs6wJyfr0yavbhqOiU_oL/view?usp=drive_link</x:v>
      </x:c>
    </x:row>
    <x:row r="298" ht="42" customHeight="1">
      <x:c r="A298" s="9" t="str">
        <x:v>MOU-2019-013</x:v>
      </x:c>
      <x:c r="B298" s="9" t="str">
        <x:v>MoU_Hue University_Vietnam_2019</x:v>
      </x:c>
      <x:c r="C298" s="7" t="n">
        <x:v>13</x:v>
      </x:c>
      <x:c r="D298" s="13" t="str">
        <x:v>Hue University</x:v>
      </x:c>
      <x:c r="E298" s="13" t="str">
        <x:v>Vietnam</x:v>
      </x:c>
      <x:c r="F298" s="13" t="str">
        <x:v>a) Exchange of faculty members and students
b) Exchange of academic literature and information
c) Collaborative research
d) Post-Doctoral Program
d) Any other activities to be decided on the basis of mutual agreement by both universities</x:v>
      </x:c>
      <x:c r="G298" s="11" t="n">
        <x:v>43728.5</x:v>
      </x:c>
      <x:c r="H298" s="11" t="n">
        <x:v>45555.5</x:v>
      </x:c>
      <x:c r="I298" s="7" t="str">
        <x:f>TEXT(G298,"dd mmm yyyy")&amp;" – "&amp;TEXT(H298,"dd mmm yyyy")</x:f>
        <x:v>20 Sep 2019 – 20 Sep 2024</x:v>
      </x:c>
      <x:c r="J298" s="7" t="str">
        <x:f>IF(H298&lt;TODAY(),"Expired","Active")</x:f>
        <x:v>Expired</x:v>
      </x:c>
      <x:c r="K298" s="15" t="str">
        <x:v>https://drive.google.com/file/d/1Aub36KN42Li55kAhtPA7OfGlc9Mm8C_l/view?usp=drive_link</x:v>
      </x:c>
    </x:row>
    <x:row r="299" ht="42" customHeight="1">
      <x:c r="A299" s="9" t="str">
        <x:v>MOU-2019-014</x:v>
      </x:c>
      <x:c r="B299" s="9" t="str">
        <x:v>MoU_International Medical Department (iMed) of Kyushu University Hospital_Japan_2019</x:v>
      </x:c>
      <x:c r="C299" s="7" t="n">
        <x:v>14</x:v>
      </x:c>
      <x:c r="D299" s="13" t="str">
        <x:v>International Medical Department (iMed) of Kyushu University Hospital</x:v>
      </x:c>
      <x:c r="E299" s="13" t="str">
        <x:v>Japan</x:v>
      </x:c>
      <x:c r="F299" s="13" t="str">
        <x:v>1) Cooperation on organization and realization of medical programs
2) Cooperation on educating the medical specialties and the supporting engineers
3) Cooperation on organizing seminars and workshops with the use of telemedicine technologies</x:v>
      </x:c>
      <x:c r="G299" s="11" t="n">
        <x:v>43718.5</x:v>
      </x:c>
      <x:c r="H299" s="11" t="n">
        <x:v>44449.5</x:v>
      </x:c>
      <x:c r="I299" s="7" t="str">
        <x:f>TEXT(G299,"dd mmm yyyy")&amp;" – "&amp;TEXT(H299,"dd mmm yyyy")</x:f>
        <x:v>10 Sep 2019 – 10 Sep 2021</x:v>
      </x:c>
      <x:c r="J299" s="7" t="str">
        <x:f>IF(H299&lt;TODAY(),"Expired","Active")</x:f>
        <x:v>Expired</x:v>
      </x:c>
      <x:c r="K299" s="15" t="str">
        <x:v>https://drive.google.com/file/d/1j9N_ZrbubKGa203D63VXc3YHFKeMSMCZ/view?usp=drive_link</x:v>
      </x:c>
    </x:row>
    <x:row r="300" ht="42" customHeight="1">
      <x:c r="A300" s="9" t="str">
        <x:v>MOU-2019-015</x:v>
      </x:c>
      <x:c r="B300" s="9" t="str">
        <x:v>MoU_Macquarie University (MoA)_Australia_2019</x:v>
      </x:c>
      <x:c r="C300" s="7" t="n">
        <x:v>16</x:v>
      </x:c>
      <x:c r="D300" s="13" t="str">
        <x:v>Macquarie University (MoA)</x:v>
      </x:c>
      <x:c r="E300" s="13" t="str">
        <x:v>Australia</x:v>
      </x:c>
      <x:c r="F300" s="13" t="str">
        <x:v>Dual Degree</x:v>
      </x:c>
      <x:c r="G300" s="11" t="n">
        <x:v>43712.5</x:v>
      </x:c>
      <x:c r="H300" s="11" t="n">
        <x:v>45539.5</x:v>
      </x:c>
      <x:c r="I300" s="7" t="str">
        <x:f>TEXT(G300,"dd mmm yyyy")&amp;" – "&amp;TEXT(H300,"dd mmm yyyy")</x:f>
        <x:v>04 Sep 2019 – 04 Sep 2024</x:v>
      </x:c>
      <x:c r="J300" s="7" t="str">
        <x:f>IF(H300&lt;TODAY(),"Expired","Active")</x:f>
        <x:v>Expired</x:v>
      </x:c>
      <x:c r="K300" s="15" t="str">
        <x:v>https://drive.google.com/file/d/11l6Yh0fTopDZF-GpGfxVsEsamT3zDqXP/view?usp=drive_link</x:v>
      </x:c>
    </x:row>
    <x:row r="301" ht="42" customHeight="1">
      <x:c r="A301" s="9" t="str">
        <x:v>MOU-2019-016</x:v>
      </x:c>
      <x:c r="B301" s="9" t="str">
        <x:v>MoU_Macquarie University (MoU)_Australia_2019</x:v>
      </x:c>
      <x:c r="C301" s="7" t="n">
        <x:v>15</x:v>
      </x:c>
      <x:c r="D301" s="13" t="str">
        <x:v>Macquarie University (MoU)</x:v>
      </x:c>
      <x:c r="E301" s="13" t="str">
        <x:v>Australia</x:v>
      </x:c>
      <x:c r="F301" s="13" t="str">
        <x:v>1) Exchange of staff 
2) Joint Research Activities 
3) Joint Programs 
4) Joint Conferences and Other Academic Meetings 
5) Exchange of Academic Materials and Information 
6) Student Mobility</x:v>
      </x:c>
      <x:c r="G301" s="11" t="n">
        <x:v>43712.5</x:v>
      </x:c>
      <x:c r="H301" s="11" t="n">
        <x:v>45539.5</x:v>
      </x:c>
      <x:c r="I301" s="7" t="str">
        <x:f>TEXT(G301,"dd mmm yyyy")&amp;" – "&amp;TEXT(H301,"dd mmm yyyy")</x:f>
        <x:v>04 Sep 2019 – 04 Sep 2024</x:v>
      </x:c>
      <x:c r="J301" s="7" t="str">
        <x:f>IF(H301&lt;TODAY(),"Expired","Active")</x:f>
        <x:v>Expired</x:v>
      </x:c>
      <x:c r="K301" s="15" t="str">
        <x:v>https://drive.google.com/file/d/13puFZITHV5OalfmW18XWwsiy2qFF5VT9/view?usp=drive_link</x:v>
      </x:c>
    </x:row>
    <x:row r="302" ht="42" customHeight="1">
      <x:c r="A302" s="9" t="str">
        <x:v>MOU-2019-017</x:v>
      </x:c>
      <x:c r="B302" s="9" t="str">
        <x:v>MoU_The Trustees of the University of Pennsylvania_United States of America_2019</x:v>
      </x:c>
      <x:c r="C302" s="7" t="n">
        <x:v>17</x:v>
      </x:c>
      <x:c r="D302" s="13" t="str">
        <x:v>The Trustees of the University of Pennsylvania</x:v>
      </x:c>
      <x:c r="E302" s="13" t="str">
        <x:v>United States of America</x:v>
      </x:c>
      <x:c r="F302" s="13" t="str">
        <x:v>a) exchange of researchers and students to execute the research 
b) exchange of information and scholarly publication on the research 
c) development and implementation of cooperative research programs 
d) development and implementation of academic programs 
e) development and implementation on community service program</x:v>
      </x:c>
      <x:c r="G302" s="11" t="n">
        <x:v>43696.5</x:v>
      </x:c>
      <x:c r="H302" s="11" t="n">
        <x:v>44062.5</x:v>
      </x:c>
      <x:c r="I302" s="7" t="str">
        <x:f>TEXT(G302,"dd mmm yyyy")&amp;" – "&amp;TEXT(H302,"dd mmm yyyy")</x:f>
        <x:v>19 Aug 2019 – 19 Aug 2020</x:v>
      </x:c>
      <x:c r="J302" s="7" t="str">
        <x:f>IF(H302&lt;TODAY(),"Expired","Active")</x:f>
        <x:v>Expired</x:v>
      </x:c>
      <x:c r="K302" s="15" t="str">
        <x:v>https://drive.google.com/file/d/11AzP6rDhwfLBxsYOH1Wl1AjYv2qGEEJj/view?usp=drive_link</x:v>
      </x:c>
    </x:row>
    <x:row r="303" ht="42" customHeight="1">
      <x:c r="A303" s="9" t="str">
        <x:v>MOU-2019-018</x:v>
      </x:c>
      <x:c r="B303" s="9" t="str">
        <x:v>MoU_East Timor Institute of Business_Timor-Leste_2019</x:v>
      </x:c>
      <x:c r="C303" s="7" t="n">
        <x:v>18</x:v>
      </x:c>
      <x:c r="D303" s="13" t="str">
        <x:v>East Timor Institute of Business</x:v>
      </x:c>
      <x:c r="E303" s="13" t="str">
        <x:v>Timor-Leste</x:v>
      </x:c>
      <x:c r="F303" s="13" t="str">
        <x:v>Pemberdayaan, Pengembangan Pendidikan dan Penelitian Serta Pengembangan Sumber Daya Manusia</x:v>
      </x:c>
      <x:c r="G303" s="11" t="n">
        <x:v>43684.5</x:v>
      </x:c>
      <x:c r="H303" s="11" t="n">
        <x:v>45511.5</x:v>
      </x:c>
      <x:c r="I303" s="7" t="str">
        <x:f>TEXT(G303,"dd mmm yyyy")&amp;" – "&amp;TEXT(H303,"dd mmm yyyy")</x:f>
        <x:v>07 Aug 2019 – 07 Aug 2024</x:v>
      </x:c>
      <x:c r="J303" s="7" t="str">
        <x:f>IF(H303&lt;TODAY(),"Expired","Active")</x:f>
        <x:v>Expired</x:v>
      </x:c>
      <x:c r="K303" s="15" t="str">
        <x:v>https://drive.google.com/file/d/1Dyl0w6vbKJJpR9zn5ekF5YrnuatFvKEJ/view?usp=drive_link</x:v>
      </x:c>
    </x:row>
    <x:row r="304" ht="42" customHeight="1">
      <x:c r="A304" s="9" t="str">
        <x:v>MOU-2019-019</x:v>
      </x:c>
      <x:c r="B304" s="9" t="str">
        <x:v>MoU_The University of the Philippines Los Banos_Philippines_2019</x:v>
      </x:c>
      <x:c r="C304" s="7" t="n">
        <x:v>19</x:v>
      </x:c>
      <x:c r="D304" s="13" t="str">
        <x:v>The University of the Philippines Los Banos</x:v>
      </x:c>
      <x:c r="E304" s="13" t="str">
        <x:v>Philippines</x:v>
      </x:c>
      <x:c r="F304" s="13" t="str">
        <x:v>1) Exchange of Faculty and Staff
2) Exchange Graduates or Under Graduates
3) Exchange Scientific Materials Publications and Information
4) Exchange Cultural Activities, Join Conferences and Academic Program
5) Joint Research Activities and Publication</x:v>
      </x:c>
      <x:c r="G304" s="11" t="n">
        <x:v>43670.5</x:v>
      </x:c>
      <x:c r="H304" s="11" t="n">
        <x:v>45497.5</x:v>
      </x:c>
      <x:c r="I304" s="7" t="str">
        <x:f>TEXT(G304,"dd mmm yyyy")&amp;" – "&amp;TEXT(H304,"dd mmm yyyy")</x:f>
        <x:v>24 Jul 2019 – 24 Jul 2024</x:v>
      </x:c>
      <x:c r="J304" s="7" t="str">
        <x:f>IF(H304&lt;TODAY(),"Expired","Active")</x:f>
        <x:v>Expired</x:v>
      </x:c>
      <x:c r="K304" s="15" t="str">
        <x:v>https://drive.google.com/file/d/1sfX-q46DFyzVtq2qfyGlB5P5OMJjcqxb/view?usp=drive_link</x:v>
      </x:c>
    </x:row>
    <x:row r="305" ht="42" customHeight="1">
      <x:c r="A305" s="9" t="str">
        <x:v>MOU-2019-020</x:v>
      </x:c>
      <x:c r="B305" s="9" t="str">
        <x:v>MoU_Polytechnic University of the Philippines_Philippines_2019</x:v>
      </x:c>
      <x:c r="C305" s="7" t="n">
        <x:v>20</x:v>
      </x:c>
      <x:c r="D305" s="13" t="str">
        <x:v>Polytechnic University of the Philippines</x:v>
      </x:c>
      <x:c r="E305" s="13" t="str">
        <x:v>Philippines</x:v>
      </x:c>
      <x:c r="F305" s="13" t="str">
        <x:v>1. Participate in programs for study, research and training
2. Develop joint courses and education programs
3. Undertake joint conferences, seminars, and workshops
4. Collaborate on capacity building</x:v>
      </x:c>
      <x:c r="G305" s="11" t="n">
        <x:v>43669.5</x:v>
      </x:c>
      <x:c r="H305" s="11" t="n">
        <x:v>45496.5</x:v>
      </x:c>
      <x:c r="I305" s="7" t="str">
        <x:f>TEXT(G305,"dd mmm yyyy")&amp;" – "&amp;TEXT(H305,"dd mmm yyyy")</x:f>
        <x:v>23 Jul 2019 – 23 Jul 2024</x:v>
      </x:c>
      <x:c r="J305" s="7" t="str">
        <x:f>IF(H305&lt;TODAY(),"Expired","Active")</x:f>
        <x:v>Expired</x:v>
      </x:c>
      <x:c r="K305" s="15" t="str">
        <x:v>https://drive.google.com/file/d/1qFi8_p4qd-sFvInEEUqKcgmi0hEbhILX/view?usp=drive_link</x:v>
      </x:c>
    </x:row>
    <x:row r="306" ht="42" customHeight="1">
      <x:c r="A306" s="9" t="str">
        <x:v>MOU-2019-021</x:v>
      </x:c>
      <x:c r="B306" s="9" t="str">
        <x:v>MoU_Adam Mickiewicz University in Poznan_Poland_2019</x:v>
      </x:c>
      <x:c r="C306" s="7" t="n">
        <x:v>21</x:v>
      </x:c>
      <x:c r="D306" s="13" t="str">
        <x:v>Adam Mickiewicz University in Poznan</x:v>
      </x:c>
      <x:c r="E306" s="13" t="str">
        <x:v>Poland</x:v>
      </x:c>
      <x:c r="F306" s="13" t="str">
        <x:v>1. Exchange experience, organize consultations and reciprocal visits and deliver lectures by representative of both universities
2. Foster participation in conferences and symposia by young academics
3. Facilitate research conducted by young academics
4. Facilitate exchange of academics and students
5. Cooperate in the exchange of publications and scientific information</x:v>
      </x:c>
      <x:c r="G306" s="11" t="n">
        <x:v>43656.5</x:v>
      </x:c>
      <x:c r="H306" s="11" t="n">
        <x:v>45483.5</x:v>
      </x:c>
      <x:c r="I306" s="7" t="str">
        <x:f>TEXT(G306,"dd mmm yyyy")&amp;" – "&amp;TEXT(H306,"dd mmm yyyy")</x:f>
        <x:v>10 Jul 2019 – 10 Jul 2024</x:v>
      </x:c>
      <x:c r="J306" s="7" t="str">
        <x:f>IF(H306&lt;TODAY(),"Expired","Active")</x:f>
        <x:v>Expired</x:v>
      </x:c>
      <x:c r="K306" s="15" t="str">
        <x:v>https://drive.google.com/file/d/1l04tSmV0PDIurzldcgtbE4kqLu-o7Ube/view?usp=drive_link</x:v>
      </x:c>
    </x:row>
    <x:row r="307" ht="42" customHeight="1">
      <x:c r="A307" s="9" t="str">
        <x:v>MOU-2019-022</x:v>
      </x:c>
      <x:c r="B307" s="9" t="str">
        <x:v>MoU_University of the Gambia (UTG)_Gambia_2019</x:v>
      </x:c>
      <x:c r="C307" s="7" t="n">
        <x:v>22</x:v>
      </x:c>
      <x:c r="D307" s="13" t="str">
        <x:v>University of the Gambia (UTG)</x:v>
      </x:c>
      <x:c r="E307" s="13" t="str">
        <x:v>Gambia</x:v>
      </x:c>
      <x:c r="F307" s="13" t="str">
        <x:v>a) Award of Scholarships
b) Exchange of Academic &amp; Administrative Staff
c) Collaboration in capacity building especially on faculty development
d) Joint research and development projects
e) Collaboration in Publication
f) Cooperation in Other Areas
g) Joint education programs
h) Joint workshops and training programmes
i) Exchange of Students</x:v>
      </x:c>
      <x:c r="G307" s="11" t="n">
        <x:v>43644.5</x:v>
      </x:c>
      <x:c r="H307" s="11" t="n">
        <x:v>45471.5</x:v>
      </x:c>
      <x:c r="I307" s="7" t="str">
        <x:f>TEXT(G307,"dd mmm yyyy")&amp;" – "&amp;TEXT(H307,"dd mmm yyyy")</x:f>
        <x:v>28 Jun 2019 – 28 Jun 2024</x:v>
      </x:c>
      <x:c r="J307" s="7" t="str">
        <x:f>IF(H307&lt;TODAY(),"Expired","Active")</x:f>
        <x:v>Expired</x:v>
      </x:c>
      <x:c r="K307" s="15" t="str">
        <x:v>https://drive.google.com/file/d/1HXQlA4sk82SoeBgsZQWHN1rBlNI28Bw8/view?usp=drive_link</x:v>
      </x:c>
    </x:row>
    <x:row r="308" ht="42" customHeight="1">
      <x:c r="A308" s="9" t="str">
        <x:v>MOU-2019-023</x:v>
      </x:c>
      <x:c r="B308" s="9" t="str">
        <x:v>MoU_The Institut National Polytechnique Toulouse_France_2019</x:v>
      </x:c>
      <x:c r="C308" s="7" t="n">
        <x:v>23</x:v>
      </x:c>
      <x:c r="D308" s="13" t="str">
        <x:v>The Institut National Polytechnique Toulouse</x:v>
      </x:c>
      <x:c r="E308" s="13" t="str">
        <x:v>France</x:v>
      </x:c>
      <x:c r="F308" s="13" t="str">
        <x:v>1) Exchange of Faculty and Staff, Exchange 
2) Joint Research Project 
3) Joint Curriculum Development
4) Continuing Education 
5) Seminars, Conferences
6) Technical Assistance</x:v>
      </x:c>
      <x:c r="G308" s="11" t="n">
        <x:v>43636.5</x:v>
      </x:c>
      <x:c r="H308" s="11" t="n">
        <x:v>45463.5</x:v>
      </x:c>
      <x:c r="I308" s="7" t="str">
        <x:f>TEXT(G308,"dd mmm yyyy")&amp;" – "&amp;TEXT(H308,"dd mmm yyyy")</x:f>
        <x:v>20 Jun 2019 – 20 Jun 2024</x:v>
      </x:c>
      <x:c r="J308" s="7" t="str">
        <x:f>IF(H308&lt;TODAY(),"Expired","Active")</x:f>
        <x:v>Expired</x:v>
      </x:c>
      <x:c r="K308" s="15" t="str">
        <x:v>https://drive.google.com/file/d/1_yWWod4-g_X3fejtR_X_yHAQQCUCeeiY/view?usp=drive_link</x:v>
      </x:c>
    </x:row>
    <x:row r="309" ht="42" customHeight="1">
      <x:c r="A309" s="9" t="str">
        <x:v>MOU-2019-024</x:v>
      </x:c>
      <x:c r="B309" s="9" t="str">
        <x:v>MoU_University of Antanarivo_Madagascar_2019</x:v>
      </x:c>
      <x:c r="C309" s="7" t="n">
        <x:v>24</x:v>
      </x:c>
      <x:c r="D309" s="13" t="str">
        <x:v>University of Antanarivo</x:v>
      </x:c>
      <x:c r="E309" s="13" t="str">
        <x:v>Madagascar</x:v>
      </x:c>
      <x:c r="F309" s="13" t="str">
        <x:v>(1) Exchange of faculty members, administrative staff and students
(2) Joint training programs including exchange of scholars for lectures, seminars and workshops as well as participation in conferences, colloquia and symposia
(3) Joint research projects, encouraging inter-university cooperation and publications
(4) Sharing of knowledge and information in fields of interest to both institutions
(5) Dual degree program that both universities agree to be of mutual interests</x:v>
      </x:c>
      <x:c r="G309" s="11" t="n">
        <x:v>43626.5</x:v>
      </x:c>
      <x:c r="H309" s="11" t="n">
        <x:v>45453.5</x:v>
      </x:c>
      <x:c r="I309" s="7" t="str">
        <x:f>TEXT(G309,"dd mmm yyyy")&amp;" – "&amp;TEXT(H309,"dd mmm yyyy")</x:f>
        <x:v>10 Jun 2019 – 10 Jun 2024</x:v>
      </x:c>
      <x:c r="J309" s="7" t="str">
        <x:f>IF(H309&lt;TODAY(),"Expired","Active")</x:f>
        <x:v>Expired</x:v>
      </x:c>
      <x:c r="K309" s="15" t="str">
        <x:v>https://drive.google.com/file/d/1ZuKFK8SKQ4imSF055p0TYav7VrNBk1uk/view?usp=drive_link</x:v>
      </x:c>
    </x:row>
    <x:row r="310" ht="42" customHeight="1">
      <x:c r="A310" s="9" t="str">
        <x:v>MOU-2019-025</x:v>
      </x:c>
      <x:c r="B310" s="9" t="str">
        <x:v>MoU_Airasia Berhad_Malaysia_2019</x:v>
      </x:c>
      <x:c r="C310" s="7" t="n">
        <x:v>25</x:v>
      </x:c>
      <x:c r="D310" s="13" t="str">
        <x:v>Airasia Berhad</x:v>
      </x:c>
      <x:c r="E310" s="13" t="str">
        <x:v>Malaysia</x:v>
      </x:c>
      <x:c r="F310" s="13" t="str">
        <x:v>1) Exchange of Faculty and Staff
2) Exchange Graduates or Under Graduates3
3) Exchange Scientific Materials Publications and Information
4) Exchange Cultural Activities, Join Conferences and Academic Program
5) Joint Research Activities and Publication</x:v>
      </x:c>
      <x:c r="G310" s="11" t="n">
        <x:v>43616.5</x:v>
      </x:c>
      <x:c r="H310" s="11" t="n">
        <x:v>45443.5</x:v>
      </x:c>
      <x:c r="I310" s="7" t="str">
        <x:f>TEXT(G310,"dd mmm yyyy")&amp;" – "&amp;TEXT(H310,"dd mmm yyyy")</x:f>
        <x:v>31 May 2019 – 31 May 2024</x:v>
      </x:c>
      <x:c r="J310" s="7" t="str">
        <x:f>IF(H310&lt;TODAY(),"Expired","Active")</x:f>
        <x:v>Expired</x:v>
      </x:c>
      <x:c r="K310" s="15" t="str">
        <x:v>https://drive.google.com/file/d/1-PVYXiCB6fkvlZvs3Z0wqbUmq9nV9wum/view?usp=drive_link</x:v>
      </x:c>
    </x:row>
    <x:row r="311" ht="42" customHeight="1">
      <x:c r="A311" s="9" t="str">
        <x:v>MOU-2019-026</x:v>
      </x:c>
      <x:c r="B311" s="9" t="str">
        <x:v>MoU_Rajamangala University of Technology Lanna (RMUTL)_Thailand_2019</x:v>
      </x:c>
      <x:c r="C311" s="7" t="n">
        <x:v>26</x:v>
      </x:c>
      <x:c r="D311" s="13" t="str">
        <x:v>Rajamangala University of Technology Lanna (RMUTL)</x:v>
      </x:c>
      <x:c r="E311" s="13" t="str">
        <x:v>Thailand</x:v>
      </x:c>
      <x:c r="F311" s="13" t="str">
        <x:v>a) Student and staff exchange;
b) Sharing of academic information, and team teaching collaboration;
c) Joint hosting of seminars, workshop and symposium
d) Joint research, joint publication and joint author
e) Journal reviewer exchange; and
f) any other areas of co-operation to be mutually agreed upon by the parties from time to time.</x:v>
      </x:c>
      <x:c r="G311" s="11" t="n">
        <x:v>43586.5</x:v>
      </x:c>
      <x:c r="H311" s="11" t="n">
        <x:v>45413.5</x:v>
      </x:c>
      <x:c r="I311" s="7" t="str">
        <x:f>TEXT(G311,"dd mmm yyyy")&amp;" – "&amp;TEXT(H311,"dd mmm yyyy")</x:f>
        <x:v>01 May 2019 – 01 May 2024</x:v>
      </x:c>
      <x:c r="J311" s="7" t="str">
        <x:f>IF(H311&lt;TODAY(),"Expired","Active")</x:f>
        <x:v>Expired</x:v>
      </x:c>
      <x:c r="K311" s="15" t="str">
        <x:v>https://drive.google.com/file/d/17fBpG3PJ06Q3MG_BGCv5ZhV8mZrwuOc2/view?usp=drive_link</x:v>
      </x:c>
    </x:row>
    <x:row r="312" ht="42" customHeight="1">
      <x:c r="A312" s="9" t="str">
        <x:v>MOU-2019-027</x:v>
      </x:c>
      <x:c r="B312" s="9" t="str">
        <x:v>MoU_Youngsan University_Korea_2019</x:v>
      </x:c>
      <x:c r="C312" s="7" t="n">
        <x:v>27</x:v>
      </x:c>
      <x:c r="D312" s="13" t="str">
        <x:v>Youngsan University</x:v>
      </x:c>
      <x:c r="E312" s="13" t="str">
        <x:v>Korea</x:v>
      </x:c>
      <x:c r="F312" s="13" t="str">
        <x:v>1) Possible opportunities available on their respective campuses for the students from abroad to enroll in undergraduate programs
2) Faculty exchange: teaching and/or coopeative research</x:v>
      </x:c>
      <x:c r="G312" s="11" t="n">
        <x:v>43584.5</x:v>
      </x:c>
      <x:c r="H312" s="11" t="n">
        <x:v>45411.5</x:v>
      </x:c>
      <x:c r="I312" s="7" t="str">
        <x:f>TEXT(G312,"dd mmm yyyy")&amp;" – "&amp;TEXT(H312,"dd mmm yyyy")</x:f>
        <x:v>29 Apr 2019 – 29 Apr 2024</x:v>
      </x:c>
      <x:c r="J312" s="7" t="str">
        <x:f>IF(H312&lt;TODAY(),"Expired","Active")</x:f>
        <x:v>Expired</x:v>
      </x:c>
      <x:c r="K312" s="15" t="str">
        <x:v>https://drive.google.com/file/d/1IneTKRqqnKMyI33MvI-CmKMeUJPa-NSa/view?usp=drive_link</x:v>
      </x:c>
    </x:row>
    <x:row r="313" ht="42" customHeight="1">
      <x:c r="A313" s="9" t="str">
        <x:v>MOU-2019-028</x:v>
      </x:c>
      <x:c r="B313" s="9" t="str">
        <x:v>MoU_Monash University_Australia_2019</x:v>
      </x:c>
      <x:c r="C313" s="7" t="n">
        <x:v>28</x:v>
      </x:c>
      <x:c r="D313" s="13" t="str">
        <x:v>Monash University</x:v>
      </x:c>
      <x:c r="E313" s="13" t="str">
        <x:v>Australia</x:v>
      </x:c>
      <x:c r="F313" s="13" t="str">
        <x:v>1. Research collaboration in the areas of mutual interest;
2. Exchange of academic materials which are made available by both parties;
3. Exchange of scholars;
4. Development of the split-site Master Program in Economic (UB) and Master of Public Policy (Monash);
5. Cooperative seminars, workshops and other academic activities.</x:v>
      </x:c>
      <x:c r="G313" s="11" t="n">
        <x:v>43567.5</x:v>
      </x:c>
      <x:c r="H313" s="11" t="n">
        <x:v>45394.5</x:v>
      </x:c>
      <x:c r="I313" s="7" t="str">
        <x:f>TEXT(G313,"dd mmm yyyy")&amp;" – "&amp;TEXT(H313,"dd mmm yyyy")</x:f>
        <x:v>12 Apr 2019 – 12 Apr 2024</x:v>
      </x:c>
      <x:c r="J313" s="7" t="str">
        <x:f>IF(H313&lt;TODAY(),"Expired","Active")</x:f>
        <x:v>Expired</x:v>
      </x:c>
      <x:c r="K313" s="15" t="str">
        <x:v>https://drive.google.com/file/d/1FgaNJ6OWA1zADbZo2D4UdtdZHrEnjGC4/view?usp=drive_link</x:v>
      </x:c>
    </x:row>
    <x:row r="314" ht="42" customHeight="1">
      <x:c r="A314" s="9" t="str">
        <x:v>MOU-2019-029</x:v>
      </x:c>
      <x:c r="B314" s="9" t="str">
        <x:v>MoU_Fukuoka University_Japan_2019</x:v>
      </x:c>
      <x:c r="C314" s="7" t="n">
        <x:v>29</x:v>
      </x:c>
      <x:c r="D314" s="13" t="str">
        <x:v>Fukuoka University</x:v>
      </x:c>
      <x:c r="E314" s="13" t="str">
        <x:v>Japan</x:v>
      </x:c>
      <x:c r="F314" s="13" t="str">
        <x:v>1. Development and implementation of potential trans national educational programs
2. Academic staff cooperation and collaborative research programs
3. Joint supervision of higher degree by research candidates
4. Student and staff exchange program
5. Short term academic programs and project</x:v>
      </x:c>
      <x:c r="G314" s="11" t="n">
        <x:v>43549.5</x:v>
      </x:c>
      <x:c r="H314" s="11" t="n">
        <x:v>45376.5</x:v>
      </x:c>
      <x:c r="I314" s="7" t="str">
        <x:f>TEXT(G314,"dd mmm yyyy")&amp;" – "&amp;TEXT(H314,"dd mmm yyyy")</x:f>
        <x:v>25 Mar 2019 – 25 Mar 2024</x:v>
      </x:c>
      <x:c r="J314" s="7" t="str">
        <x:f>IF(H314&lt;TODAY(),"Expired","Active")</x:f>
        <x:v>Expired</x:v>
      </x:c>
      <x:c r="K314" s="15" t="str">
        <x:v>https://drive.google.com/file/d/17sHfj3ikGbEXsXCZolbVk5ELmAssj7Xz/view?usp=drive_link</x:v>
      </x:c>
    </x:row>
    <x:row r="315" ht="42" customHeight="1">
      <x:c r="A315" s="9" t="str">
        <x:v>MOU-2019-030</x:v>
      </x:c>
      <x:c r="B315" s="9" t="str">
        <x:v>MoU_Charles University_Czechia_2019</x:v>
      </x:c>
      <x:c r="C315" s="7" t="n">
        <x:v>30</x:v>
      </x:c>
      <x:c r="D315" s="13" t="str">
        <x:v>Charles University</x:v>
      </x:c>
      <x:c r="E315" s="13" t="str">
        <x:v>Czechia</x:v>
      </x:c>
      <x:c r="F315" s="13" t="str">
        <x:v>1. To exchange scientific and scholarly publications and information and teaching materials where possible
2. To exchange teachers, research scholars and lecturers
3. To encourage contacts and exchange of students.
4. To take part in other university activities such as conferences, colloquies and seminars of interest for both Universities.</x:v>
      </x:c>
      <x:c r="G315" s="11" t="n">
        <x:v>43502.5</x:v>
      </x:c>
      <x:c r="H315" s="11" t="n">
        <x:v>45328.5</x:v>
      </x:c>
      <x:c r="I315" s="7" t="str">
        <x:f>TEXT(G315,"dd mmm yyyy")&amp;" – "&amp;TEXT(H315,"dd mmm yyyy")</x:f>
        <x:v>06 Feb 2019 – 06 Feb 2024</x:v>
      </x:c>
      <x:c r="J315" s="7" t="str">
        <x:f>IF(H315&lt;TODAY(),"Expired","Active")</x:f>
        <x:v>Expired</x:v>
      </x:c>
      <x:c r="K315" s="15" t="str">
        <x:v>https://drive.google.com/file/d/1Qsz1uT6_-ArvhcTPMADaVHNBuNcB03oB/view?usp=drive_link</x:v>
      </x:c>
    </x:row>
    <x:row r="316" ht="42" customHeight="1">
      <x:c r="A316" s="9" t="str">
        <x:v>MOU-2019-031</x:v>
      </x:c>
      <x:c r="B316" s="9" t="str">
        <x:v>MoU_National University Corporation Kochi University_Japan_2019</x:v>
      </x:c>
      <x:c r="C316" s="7" t="n">
        <x:v>31</x:v>
      </x:c>
      <x:c r="D316" s="13" t="str">
        <x:v>National University Corporation Kochi University</x:v>
      </x:c>
      <x:c r="E316" s="13" t="str">
        <x:v>Japan</x:v>
      </x:c>
      <x:c r="F316" s="13" t="str">
        <x:v>1. Exchange of faculty, researchers and other research and administrative staff
2. Exchange of students
3. Conducting collaborative research projects
4. Conducting lectures and organizing symposia
5. Exchange of academic information and materials
6. Promoting other academic cooperation as mutually agreed</x:v>
      </x:c>
      <x:c r="G316" s="11" t="n">
        <x:v>43498.5</x:v>
      </x:c>
      <x:c r="H316" s="11" t="n">
        <x:v>45324.5</x:v>
      </x:c>
      <x:c r="I316" s="7" t="str">
        <x:f>TEXT(G316,"dd mmm yyyy")&amp;" – "&amp;TEXT(H316,"dd mmm yyyy")</x:f>
        <x:v>02 Feb 2019 – 02 Feb 2024</x:v>
      </x:c>
      <x:c r="J316" s="7" t="str">
        <x:f>IF(H316&lt;TODAY(),"Expired","Active")</x:f>
        <x:v>Expired</x:v>
      </x:c>
      <x:c r="K316" s="15" t="str">
        <x:v>https://drive.google.com/file/d/1uTfy-7ZR567A_t86pjE6pdeCCG-c07h5/view?usp=drive_link</x:v>
      </x:c>
    </x:row>
    <x:row r="317" ht="42" customHeight="1">
      <x:c r="A317" s="9" t="str">
        <x:v>MOU-2019-032</x:v>
      </x:c>
      <x:c r="B317" s="9" t="str">
        <x:v>MoU_Newcastle University_Australia_2019</x:v>
      </x:c>
      <x:c r="C317" s="7" t="n">
        <x:v>32</x:v>
      </x:c>
      <x:c r="D317" s="13" t="str">
        <x:v>Newcastle University</x:v>
      </x:c>
      <x:c r="E317" s="13" t="str">
        <x:v>Australia</x:v>
      </x:c>
      <x:c r="F317" s="13" t="str">
        <x:v>1) Enable faculty and students from both institutions to participate in programs for study research and research training
2) Develop joint programs
3) Undertake joint conferences, seminars and workshops
4) Facilitate academic/staff and student exchange/study abroad
5) Collaborate in the capacity building of the Academic Institution's faculty members/academics and professional staff in priority training areas set by relevant ministries and scholarship bodies</x:v>
      </x:c>
      <x:c r="G317" s="11" t="n">
        <x:v>43497.5</x:v>
      </x:c>
      <x:c r="H317" s="11" t="n">
        <x:v>45291.5</x:v>
      </x:c>
      <x:c r="I317" s="7" t="str">
        <x:f>TEXT(G317,"dd mmm yyyy")&amp;" – "&amp;TEXT(H317,"dd mmm yyyy")</x:f>
        <x:v>01 Feb 2019 – 31 Dec 2023</x:v>
      </x:c>
      <x:c r="J317" s="7" t="str">
        <x:f>IF(H317&lt;TODAY(),"Expired","Active")</x:f>
        <x:v>Expired</x:v>
      </x:c>
      <x:c r="K317" s="15" t="str">
        <x:v>https://drive.google.com/file/d/1Qk-KW3lzbmG3onavtGMQntZ7yfEME7Yo/view?usp=drive_link</x:v>
      </x:c>
    </x:row>
    <x:row r="318" ht="42" customHeight="1">
      <x:c r="A318" s="9" t="str">
        <x:v>MOU-2019-033</x:v>
      </x:c>
      <x:c r="B318" s="9" t="str">
        <x:v>MoU_College of Animal Life Sciences, Kangwon National University_South Korea_2019</x:v>
      </x:c>
      <x:c r="C318" s="7" t="n">
        <x:v>33</x:v>
      </x:c>
      <x:c r="D318" s="13" t="str">
        <x:v>College of Animal Life Sciences, Kangwon National University</x:v>
      </x:c>
      <x:c r="E318" s="13" t="str">
        <x:v>South Korea</x:v>
      </x:c>
      <x:c r="F318" s="13" t="str">
        <x:v>1) Exchange Academic Scholar
2) Exchange of Student
3) Joint Research Programs
4) Planning and Execution of Academic Activities Such as Conferences and Seminars
5) Exchange Academic Material Such Publication and Information</x:v>
      </x:c>
      <x:c r="G318" s="11" t="n">
        <x:v>43494.5</x:v>
      </x:c>
      <x:c r="H318" s="11" t="n">
        <x:v>45320.5</x:v>
      </x:c>
      <x:c r="I318" s="7" t="str">
        <x:f>TEXT(G318,"dd mmm yyyy")&amp;" – "&amp;TEXT(H318,"dd mmm yyyy")</x:f>
        <x:v>29 Jan 2019 – 29 Jan 2024</x:v>
      </x:c>
      <x:c r="J318" s="7" t="str">
        <x:f>IF(H318&lt;TODAY(),"Expired","Active")</x:f>
        <x:v>Expired</x:v>
      </x:c>
      <x:c r="K318" s="15" t="str">
        <x:v>https://drive.google.com/file/d/1tpsQkkK2xVsNCSX3BZzKAHrwDliPBmwe/view?usp=drive_link</x:v>
      </x:c>
    </x:row>
    <x:row r="319" ht="42" customHeight="1">
      <x:c r="A319" s="9" t="str">
        <x:v>MOU-2019-034</x:v>
      </x:c>
      <x:c r="B319" s="9" t="str">
        <x:v>MoU_National Cheng Kung University_Taiwan_2019</x:v>
      </x:c>
      <x:c r="C319" s="7" t="n">
        <x:v>34</x:v>
      </x:c>
      <x:c r="D319" s="13" t="str">
        <x:v>National Cheng Kung University</x:v>
      </x:c>
      <x:c r="E319" s="13" t="str">
        <x:v>Taiwan</x:v>
      </x:c>
      <x:c r="F319" s="13" t="str">
        <x:v>a) Exchange of faculty members and students;
b) Exchange of academic literature and information;
c) Collaborative research;
d) Post-Doctoral Program
e) Any other activities to be decided on the basis of mutual agreement by both universities.</x:v>
      </x:c>
      <x:c r="G319" s="11" t="n">
        <x:v>43467.5</x:v>
      </x:c>
      <x:c r="H319" s="11" t="n">
        <x:v>45293.5</x:v>
      </x:c>
      <x:c r="I319" s="7" t="str">
        <x:f>TEXT(G319,"dd mmm yyyy")&amp;" – "&amp;TEXT(H319,"dd mmm yyyy")</x:f>
        <x:v>02 Jan 2019 – 02 Jan 2024</x:v>
      </x:c>
      <x:c r="J319" s="7" t="str">
        <x:f>IF(H319&lt;TODAY(),"Expired","Active")</x:f>
        <x:v>Expired</x:v>
      </x:c>
      <x:c r="K319" s="15" t="str">
        <x:v>https://drive.google.com/file/d/1HGrwtF1xpwVL3kJFnWssAmoX0MCzkp0R/view?usp=drive_link</x:v>
      </x:c>
    </x:row>
    <x:row r="320" ht="42" customHeight="1">
      <x:c r="A320" s="9" t="str">
        <x:v>MOU-2019-035</x:v>
      </x:c>
      <x:c r="B320" s="9" t="str">
        <x:v>MoU_Heidelberg University_Germany_2019</x:v>
      </x:c>
      <x:c r="C320" s="7" t="n">
        <x:v>35</x:v>
      </x:c>
      <x:c r="D320" s="13" t="str">
        <x:v>Heidelberg University</x:v>
      </x:c>
      <x:c r="E320" s="13" t="str">
        <x:v>Germany</x:v>
      </x:c>
      <x:c r="F320" s="13" t="str">
        <x:v>1) Academic Exchanges among Scholars and Expert of Both Parties
2) Organization of Joint Academic Conferences Symposia and Workshop on the Topics of Mutual Interest
3) Encouragement of Cooperative Research between Both Parties</x:v>
      </x:c>
      <x:c r="G320" s="11" t="n">
        <x:v>43466.5</x:v>
      </x:c>
      <x:c r="H320" s="11" t="n">
        <x:v>43830.5</x:v>
      </x:c>
      <x:c r="I320" s="7" t="str">
        <x:f>TEXT(G320,"dd mmm yyyy")&amp;" – "&amp;TEXT(H320,"dd mmm yyyy")</x:f>
        <x:v>01 Jan 2019 – 31 Dec 2019</x:v>
      </x:c>
      <x:c r="J320" s="7" t="str">
        <x:f>IF(H320&lt;TODAY(),"Expired","Active")</x:f>
        <x:v>Expired</x:v>
      </x:c>
      <x:c r="K320" s="15" t="str">
        <x:v>https://drive.google.com/file/d/1FFG7a1MXk6ghmXeVf6J_ERgn9_1O3urx/view?usp=drive_link</x:v>
      </x:c>
    </x:row>
    <x:row r="321" ht="42" customHeight="1">
      <x:c r="A321" s="9" t="str">
        <x:v>MOU-2018-001</x:v>
      </x:c>
      <x:c r="B321" s="9" t="str">
        <x:v>MoU_University of Kentucky_United States of America_2018</x:v>
      </x:c>
      <x:c r="C321" s="7" t="n">
        <x:v>1</x:v>
      </x:c>
      <x:c r="D321" s="13" t="str">
        <x:v>University of Kentucky</x:v>
      </x:c>
      <x:c r="E321" s="13" t="str">
        <x:v>United States of America</x:v>
      </x:c>
      <x:c r="F321" s="13" t="str">
        <x:v>(a) Joint educational, cultural, and research activities
(b) Exchange of faculty members and students for research, lectures, and discussions
(c) Participation in seminars and academic meetings
(d) Exchange of academic materials, publications, and other informations
(e) Special, short-term academic programs</x:v>
      </x:c>
      <x:c r="G321" s="11" t="n">
        <x:v>43444.5</x:v>
      </x:c>
      <x:c r="H321" s="11" t="n">
        <x:v>45107.5</x:v>
      </x:c>
      <x:c r="I321" s="7" t="str">
        <x:f>TEXT(G321,"dd mmm yyyy")&amp;" – "&amp;TEXT(H321,"dd mmm yyyy")</x:f>
        <x:v>10 Dec 2018 – 30 Jun 2023</x:v>
      </x:c>
      <x:c r="J321" s="7" t="str">
        <x:f>IF(H321&lt;TODAY(),"Expired","Active")</x:f>
        <x:v>Expired</x:v>
      </x:c>
      <x:c r="K321" s="15" t="str">
        <x:v>https://drive.google.com/file/d/1bj14G0YEQOEQM7C57Zt0iDUq9_jNm8Td/view?usp=drive_link</x:v>
      </x:c>
    </x:row>
    <x:row r="322" ht="42" customHeight="1">
      <x:c r="A322" s="9" t="str">
        <x:v>MOU-2018-002</x:v>
      </x:c>
      <x:c r="B322" s="9" t="str">
        <x:v>MoU_Yuan Ze University_Taiwan_2018</x:v>
      </x:c>
      <x:c r="C322" s="7" t="n">
        <x:v>2</x:v>
      </x:c>
      <x:c r="D322" s="13" t="str">
        <x:v>Yuan Ze University</x:v>
      </x:c>
      <x:c r="E322" s="13" t="str">
        <x:v>Taiwan</x:v>
      </x:c>
      <x:c r="F322" s="13" t="str">
        <x:v>a) Joint PhD degree program
b) Credit transfer</x:v>
      </x:c>
      <x:c r="G322" s="11" t="n">
        <x:v>43434.5</x:v>
      </x:c>
      <x:c r="H322" s="11" t="n">
        <x:v>45260.5</x:v>
      </x:c>
      <x:c r="I322" s="7" t="str">
        <x:f>TEXT(G322,"dd mmm yyyy")&amp;" – "&amp;TEXT(H322,"dd mmm yyyy")</x:f>
        <x:v>30 Nov 2018 – 30 Nov 2023</x:v>
      </x:c>
      <x:c r="J322" s="7" t="str">
        <x:f>IF(H322&lt;TODAY(),"Expired","Active")</x:f>
        <x:v>Expired</x:v>
      </x:c>
      <x:c r="K322" s="15" t="str">
        <x:v>https://drive.google.com/file/d/1DLerOrtDUiOg82f0diCtZKSgBr8tsB_v/view?usp=drive_link</x:v>
      </x:c>
    </x:row>
    <x:row r="323" ht="42" customHeight="1">
      <x:c r="A323" s="9" t="str">
        <x:v>MOU-2018-003</x:v>
      </x:c>
      <x:c r="B323" s="9" t="str">
        <x:v>MoU_La Trobe University_Australia_2018</x:v>
      </x:c>
      <x:c r="C323" s="7" t="n">
        <x:v>3</x:v>
      </x:c>
      <x:c r="D323" s="13" t="str">
        <x:v>La Trobe University</x:v>
      </x:c>
      <x:c r="E323" s="13" t="str">
        <x:v>Australia</x:v>
      </x:c>
      <x:c r="F323" s="13" t="str">
        <x:v>1) Staff and students exchanges
2) Projects or programs</x:v>
      </x:c>
      <x:c r="G323" s="11" t="n">
        <x:v>43426.5</x:v>
      </x:c>
      <x:c r="H323" s="11" t="n">
        <x:v>45252.5</x:v>
      </x:c>
      <x:c r="I323" s="7" t="str">
        <x:f>TEXT(G323,"dd mmm yyyy")&amp;" – "&amp;TEXT(H323,"dd mmm yyyy")</x:f>
        <x:v>22 Nov 2018 – 22 Nov 2023</x:v>
      </x:c>
      <x:c r="J323" s="7" t="str">
        <x:f>IF(H323&lt;TODAY(),"Expired","Active")</x:f>
        <x:v>Expired</x:v>
      </x:c>
      <x:c r="K323" s="15" t="str">
        <x:v>https://drive.google.com/file/d/155rs1IVyaz5SAvqRiXtudxhnMrZGrObi/view?usp=drive_link</x:v>
      </x:c>
    </x:row>
    <x:row r="324" ht="42" customHeight="1">
      <x:c r="A324" s="9" t="str">
        <x:v>MOU-2018-004</x:v>
      </x:c>
      <x:c r="B324" s="9" t="str">
        <x:v>MoU_Ritsumeikan University_Japan_2018</x:v>
      </x:c>
      <x:c r="C324" s="7" t="n">
        <x:v>4</x:v>
      </x:c>
      <x:c r="D324" s="13" t="str">
        <x:v>Ritsumeikan University</x:v>
      </x:c>
      <x:c r="E324" s="13" t="str">
        <x:v>Japan</x:v>
      </x:c>
      <x:c r="F324" s="13" t="str">
        <x:v>a) Interaction between academic staff
b) Interaction between students
c) Joint research projects
d) Joint research workshops and conferences
e) Joint cultural activities
f) Other activities upon the mutual agreement of the institutions concerned</x:v>
      </x:c>
      <x:c r="G324" s="11" t="n">
        <x:v>43417.5</x:v>
      </x:c>
      <x:c r="H324" s="11" t="n">
        <x:v>45243.5</x:v>
      </x:c>
      <x:c r="I324" s="7" t="str">
        <x:f>TEXT(G324,"dd mmm yyyy")&amp;" – "&amp;TEXT(H324,"dd mmm yyyy")</x:f>
        <x:v>13 Nov 2018 – 13 Nov 2023</x:v>
      </x:c>
      <x:c r="J324" s="7" t="str">
        <x:f>IF(H324&lt;TODAY(),"Expired","Active")</x:f>
        <x:v>Expired</x:v>
      </x:c>
      <x:c r="K324" s="15" t="str">
        <x:v>https://drive.google.com/file/d/1F-fXNvN7OXLWxWfSVVG7ZYJ9V8Kp60Gx/view?usp=drive_link</x:v>
      </x:c>
    </x:row>
    <x:row r="325" ht="42" customHeight="1">
      <x:c r="A325" s="9" t="str">
        <x:v>MOU-2018-005</x:v>
      </x:c>
      <x:c r="B325" s="9" t="str">
        <x:v>MoU_University of Portsmouth Higher Education Corporation_United Kingdom_2018</x:v>
      </x:c>
      <x:c r="C325" s="7" t="n">
        <x:v>5</x:v>
      </x:c>
      <x:c r="D325" s="13" t="str">
        <x:v>University of Portsmouth Higher Education Corporation</x:v>
      </x:c>
      <x:c r="E325" s="13" t="str">
        <x:v>United Kingdom</x:v>
      </x:c>
      <x:c r="F325" s="13" t="str">
        <x:v>1) Exchange of Information
2) Mutual Visits by Faculty Members and Exchange Student
3) Development of Collaborative Academic Program
4) Development Joint Research
5) Development Joint Research Funding Applications on Areas Mutual Interest
6) Development and Sharing of Industrial, Work, and Laboratory Placement Opportunity
7) Participation on Seminars and Conferences
8) Collaboration in Sharing Best Practices</x:v>
      </x:c>
      <x:c r="G325" s="11" t="n">
        <x:v>43384.5</x:v>
      </x:c>
      <x:c r="H325" s="11" t="n">
        <x:v>44845.5</x:v>
      </x:c>
      <x:c r="I325" s="7" t="str">
        <x:f>TEXT(G325,"dd mmm yyyy")&amp;" – "&amp;TEXT(H325,"dd mmm yyyy")</x:f>
        <x:v>11 Oct 2018 – 11 Oct 2022</x:v>
      </x:c>
      <x:c r="J325" s="7" t="str">
        <x:f>IF(H325&lt;TODAY(),"Expired","Active")</x:f>
        <x:v>Expired</x:v>
      </x:c>
      <x:c r="K325" s="15" t="str">
        <x:v>https://drive.google.com/file/d/1YbinE8_8PcadJm2o13cpvI3C3_RXCLpy/view?usp=drive_link</x:v>
      </x:c>
    </x:row>
    <x:row r="326" ht="42" customHeight="1">
      <x:c r="A326" s="9" t="str">
        <x:v>MOU-2018-006</x:v>
      </x:c>
      <x:c r="B326" s="9" t="str">
        <x:v>MoU_Ministerio Da Agricultura, Dili_Timor-Leste_2018</x:v>
      </x:c>
      <x:c r="C326" s="7" t="n">
        <x:v>6</x:v>
      </x:c>
      <x:c r="D326" s="13" t="str">
        <x:v>Ministerio Da Agricultura, Dili</x:v>
      </x:c>
      <x:c r="E326" s="13" t="str">
        <x:v>Timor-Leste</x:v>
      </x:c>
      <x:c r="F326" s="13" t="str">
        <x:v>1) Penerimaan pegawai RDTL dalam melanjutkan studinya dan atau transfer mahasiswa dari RDTL ke UB, dan pemberlakuan standard nasional pembayaran biaya pendidikan bagi mahasiswa dari RDTL
2) Pelatihan di bidang pertanian seperti teknologi benih, agro-industri
3) Pertukaran informasi di bidang pertanian
4) Penelitian bersama
5) Seminar dan workshop
6) Penugasan staf ahli UB untuk mendampingi program nasional di RDTL</x:v>
      </x:c>
      <x:c r="G326" s="11" t="n">
        <x:v>43375.5</x:v>
      </x:c>
      <x:c r="H326" s="11" t="n">
        <x:v>45201.5</x:v>
      </x:c>
      <x:c r="I326" s="7" t="str">
        <x:f>TEXT(G326,"dd mmm yyyy")&amp;" – "&amp;TEXT(H326,"dd mmm yyyy")</x:f>
        <x:v>02 Oct 2018 – 02 Oct 2023</x:v>
      </x:c>
      <x:c r="J326" s="7" t="str">
        <x:f>IF(H326&lt;TODAY(),"Expired","Active")</x:f>
        <x:v>Expired</x:v>
      </x:c>
      <x:c r="K326" s="15" t="str">
        <x:v>https://drive.google.com/file/d/1ylD_P7ZK2bUIF6jQWaNkwUaGvZqI9jaJ/view?usp=drive_link</x:v>
      </x:c>
    </x:row>
    <x:row r="327" ht="42" customHeight="1">
      <x:c r="A327" s="9" t="str">
        <x:v>MOU-2018-007</x:v>
      </x:c>
      <x:c r="B327" s="9" t="str">
        <x:v>MoU_Nagasaki University_Japan_2018</x:v>
      </x:c>
      <x:c r="C327" s="7" t="n">
        <x:v>7</x:v>
      </x:c>
      <x:c r="D327" s="13" t="str">
        <x:v>Nagasaki University</x:v>
      </x:c>
      <x:c r="E327" s="13" t="str">
        <x:v>Japan</x:v>
      </x:c>
      <x:c r="F327" s="13" t="str">
        <x:v>Student Exchange</x:v>
      </x:c>
      <x:c r="G327" s="11" t="n">
        <x:v>43352.5</x:v>
      </x:c>
      <x:c r="H327" s="11" t="n">
        <x:v>45178.5</x:v>
      </x:c>
      <x:c r="I327" s="7" t="str">
        <x:f>TEXT(G327,"dd mmm yyyy")&amp;" – "&amp;TEXT(H327,"dd mmm yyyy")</x:f>
        <x:v>09 Sep 2018 – 09 Sep 2023</x:v>
      </x:c>
      <x:c r="J327" s="7" t="str">
        <x:f>IF(H327&lt;TODAY(),"Expired","Active")</x:f>
        <x:v>Expired</x:v>
      </x:c>
      <x:c r="K327" s="15" t="str">
        <x:v>https://drive.google.com/file/d/15BH0yVCyAmbEzAPHDY6lFsvmCdTXPrja/view?usp=drive_link</x:v>
      </x:c>
    </x:row>
    <x:row r="328" ht="42" customHeight="1">
      <x:c r="A328" s="9" t="str">
        <x:v>MOU-2018-008</x:v>
      </x:c>
      <x:c r="B328" s="9" t="str">
        <x:v>MoU_Murray State University_United States of America_2018</x:v>
      </x:c>
      <x:c r="C328" s="7" t="n">
        <x:v>8</x:v>
      </x:c>
      <x:c r="D328" s="13" t="str">
        <x:v>Murray State University</x:v>
      </x:c>
      <x:c r="E328" s="13" t="str">
        <x:v>United States of America</x:v>
      </x:c>
      <x:c r="F328" s="13" t="str">
        <x:v>Transferred Program</x:v>
      </x:c>
      <x:c r="G328" s="11" t="n">
        <x:v>43348.5</x:v>
      </x:c>
      <x:c r="H328" s="11" t="n">
        <x:v>45174.5</x:v>
      </x:c>
      <x:c r="I328" s="7" t="str">
        <x:f>TEXT(G328,"dd mmm yyyy")&amp;" – "&amp;TEXT(H328,"dd mmm yyyy")</x:f>
        <x:v>05 Sep 2018 – 05 Sep 2023</x:v>
      </x:c>
      <x:c r="J328" s="7" t="str">
        <x:f>IF(H328&lt;TODAY(),"Expired","Active")</x:f>
        <x:v>Expired</x:v>
      </x:c>
      <x:c r="K328" s="15" t="str">
        <x:v>https://drive.google.com/file/d/1aJuNROu904bF--jqtaRriFKIma6JSmTB/view?usp=drive_link</x:v>
      </x:c>
    </x:row>
    <x:row r="329" ht="42" customHeight="1">
      <x:c r="A329" s="9" t="str">
        <x:v>MOU-2018-009</x:v>
      </x:c>
      <x:c r="B329" s="9" t="str">
        <x:v>MoU_The Center for Ecology &amp; Hidrology, Lancaster_United Kingdom_2018</x:v>
      </x:c>
      <x:c r="C329" s="7" t="n">
        <x:v>9</x:v>
      </x:c>
      <x:c r="D329" s="13" t="str">
        <x:v>The Center for Ecology &amp; Hidrology, Lancaster</x:v>
      </x:c>
      <x:c r="E329" s="13" t="str">
        <x:v>United Kingdom</x:v>
      </x:c>
      <x:c r="F329" s="13" t="str">
        <x:v>a) Collaboration in academic, research activities and community development
b) Co-operating in areas including but not limited to soil health, biodiversity, and ecosystem service delivery to support sustainable agricultural development
c) Collaboration and capacity building through exchange programs, joint research supervision and publications.
d) Any other areas of co-operation to be mutually decided upon by the Parties.</x:v>
      </x:c>
      <x:c r="G329" s="11" t="n">
        <x:v>43313.5</x:v>
      </x:c>
      <x:c r="H329" s="11" t="n">
        <x:v>45139.5</x:v>
      </x:c>
      <x:c r="I329" s="7" t="str">
        <x:f>TEXT(G329,"dd mmm yyyy")&amp;" – "&amp;TEXT(H329,"dd mmm yyyy")</x:f>
        <x:v>01 Aug 2018 – 01 Aug 2023</x:v>
      </x:c>
      <x:c r="J329" s="7" t="str">
        <x:f>IF(H329&lt;TODAY(),"Expired","Active")</x:f>
        <x:v>Expired</x:v>
      </x:c>
      <x:c r="K329" s="15" t="str">
        <x:v>https://drive.google.com/file/d/1BzupmOSLbobH55j0fbApU0lqoaLX3XFf/view?usp=drive_link</x:v>
      </x:c>
    </x:row>
    <x:row r="330" ht="42" customHeight="1">
      <x:c r="A330" s="9" t="str">
        <x:v>MOU-2018-010</x:v>
      </x:c>
      <x:c r="B330" s="9" t="str">
        <x:v>MoU_University of Szczecin_Poland_2018</x:v>
      </x:c>
      <x:c r="C330" s="7" t="n">
        <x:v>10</x:v>
      </x:c>
      <x:c r="D330" s="13" t="str">
        <x:v>University of Szczecin</x:v>
      </x:c>
      <x:c r="E330" s="13" t="str">
        <x:v>Poland</x:v>
      </x:c>
      <x:c r="F330" s="13" t="str">
        <x:v>1) Joint research activities
2) Joint research publications
3) Mutually receive educational visit of academic members and researchers
4) Exchange academic materials and information
5) Join international conference</x:v>
      </x:c>
      <x:c r="G330" s="11" t="n">
        <x:v>43311.5</x:v>
      </x:c>
      <x:c r="H330" s="11" t="n">
        <x:v>46964.5</x:v>
      </x:c>
      <x:c r="I330" s="7" t="str">
        <x:f>TEXT(G330,"dd mmm yyyy")&amp;" – "&amp;TEXT(H330,"dd mmm yyyy")</x:f>
        <x:v>30 Jul 2018 – 30 Jul 2028</x:v>
      </x:c>
      <x:c r="J330" s="7" t="str">
        <x:f>IF(H330&lt;TODAY(),"Expired","Active")</x:f>
        <x:v>Active</x:v>
      </x:c>
      <x:c r="K330" s="15" t="str">
        <x:v>https://drive.google.com/file/d/1e0JjHLz6wM567bveKT-Kt3ee8HInmsSF/view?usp=drive_link</x:v>
      </x:c>
    </x:row>
    <x:row r="331" ht="42" customHeight="1">
      <x:c r="A331" s="9" t="str">
        <x:v>MOU-2018-011</x:v>
      </x:c>
      <x:c r="B331" s="9" t="str">
        <x:v>MoU_M. Narikbayev Kazguu University_Kazakhstan_2018</x:v>
      </x:c>
      <x:c r="C331" s="7" t="n">
        <x:v>11</x:v>
      </x:c>
      <x:c r="D331" s="13" t="str">
        <x:v>M. Narikbayev Kazguu University</x:v>
      </x:c>
      <x:c r="E331" s="13" t="str">
        <x:v>Kazakhstan</x:v>
      </x:c>
      <x:c r="F331" s="13" t="str">
        <x:v>a) Exchange of faculty members and students
b) Exchange of academic literature and information
c) Collaborative research
d) Post-Doctoral Program
e) Any other activities to be decided on the basis of mutual agreement by both universities</x:v>
      </x:c>
      <x:c r="G331" s="11" t="n">
        <x:v>43304.5</x:v>
      </x:c>
      <x:c r="H331" s="11" t="n">
        <x:v>45130.5</x:v>
      </x:c>
      <x:c r="I331" s="7" t="str">
        <x:f>TEXT(G331,"dd mmm yyyy")&amp;" – "&amp;TEXT(H331,"dd mmm yyyy")</x:f>
        <x:v>23 Jul 2018 – 23 Jul 2023</x:v>
      </x:c>
      <x:c r="J331" s="7" t="str">
        <x:f>IF(H331&lt;TODAY(),"Expired","Active")</x:f>
        <x:v>Expired</x:v>
      </x:c>
      <x:c r="K331" s="15" t="str">
        <x:v>https://drive.google.com/file/d/1Di2EjgvD_bSQvtED0aAeMkQ0Q3L0YE3C/view?usp=drive_link</x:v>
      </x:c>
    </x:row>
    <x:row r="332" ht="42" customHeight="1">
      <x:c r="A332" s="9" t="str">
        <x:v>MOU-2018-012</x:v>
      </x:c>
      <x:c r="B332" s="9" t="str">
        <x:v>MoU_Universidade De Brasilia_Brazil_2018</x:v>
      </x:c>
      <x:c r="C332" s="7" t="n">
        <x:v>12</x:v>
      </x:c>
      <x:c r="D332" s="13" t="str">
        <x:v>Universidade De Brasilia</x:v>
      </x:c>
      <x:c r="E332" s="13" t="str">
        <x:v>Brazil</x:v>
      </x:c>
      <x:c r="F332" s="13" t="str">
        <x:v>Tri Dharma, Beasiswa, Pertukaran Mahasiswa dan Staf, Joint Research, Mutual Colaboration, Cultural Activities</x:v>
      </x:c>
      <x:c r="G332" s="11" t="n">
        <x:v>43222.5</x:v>
      </x:c>
      <x:c r="H332" s="11" t="n">
        <x:v>45048.5</x:v>
      </x:c>
      <x:c r="I332" s="7" t="str">
        <x:f>TEXT(G332,"dd mmm yyyy")&amp;" – "&amp;TEXT(H332,"dd mmm yyyy")</x:f>
        <x:v>02 May 2018 – 02 May 2023</x:v>
      </x:c>
      <x:c r="J332" s="7" t="str">
        <x:f>IF(H332&lt;TODAY(),"Expired","Active")</x:f>
        <x:v>Expired</x:v>
      </x:c>
      <x:c r="K332" s="15" t="str">
        <x:v>https://drive.google.com/file/d/1JuSI_l7Nl8fFGIgvWdv-Hfz5xFWB5EVn/view?usp=drive_link</x:v>
      </x:c>
    </x:row>
    <x:row r="333" ht="42" customHeight="1">
      <x:c r="A333" s="9" t="str">
        <x:v>MOU-2018-013</x:v>
      </x:c>
      <x:c r="B333" s="9" t="str">
        <x:v>MoU_University of Jordan_Jordan_2018</x:v>
      </x:c>
      <x:c r="C333" s="7" t="n">
        <x:v>13</x:v>
      </x:c>
      <x:c r="D333" s="13" t="str">
        <x:v>University of Jordan</x:v>
      </x:c>
      <x:c r="E333" s="13" t="str">
        <x:v>Jordan</x:v>
      </x:c>
      <x:c r="F333" s="13" t="str">
        <x:v>1) Exchange of faculty and/or staff
2) Exchange of graduate and/or undergraduate students
3) Exchange of scientific materials, publications, and information
4) Exchange of cultural activities
5) Joint conferences and academic programs
6) Joint research activities and publications</x:v>
      </x:c>
      <x:c r="G333" s="11" t="n">
        <x:v>43207.5</x:v>
      </x:c>
      <x:c r="H333" s="11" t="n">
        <x:v>45033.5</x:v>
      </x:c>
      <x:c r="I333" s="7" t="str">
        <x:f>TEXT(G333,"dd mmm yyyy")&amp;" – "&amp;TEXT(H333,"dd mmm yyyy")</x:f>
        <x:v>17 Apr 2018 – 17 Apr 2023</x:v>
      </x:c>
      <x:c r="J333" s="7" t="str">
        <x:f>IF(H333&lt;TODAY(),"Expired","Active")</x:f>
        <x:v>Expired</x:v>
      </x:c>
      <x:c r="K333" s="15" t="str">
        <x:v>https://drive.google.com/file/d/1LZrykg-bp0WDUej6nwEMcPNVC5EXxYR6/view?usp=drive_link</x:v>
      </x:c>
    </x:row>
    <x:row r="334" ht="42" customHeight="1">
      <x:c r="A334" s="9" t="str">
        <x:v>MOU-2018-014</x:v>
      </x:c>
      <x:c r="B334" s="9" t="str">
        <x:v>MoU_University of Opole_Poland_2018</x:v>
      </x:c>
      <x:c r="C334" s="7" t="n">
        <x:v>14</x:v>
      </x:c>
      <x:c r="D334" s="13" t="str">
        <x:v>University of Opole</x:v>
      </x:c>
      <x:c r="E334" s="13" t="str">
        <x:v>Poland</x:v>
      </x:c>
      <x:c r="F334" s="13" t="str">
        <x:v>Graduate/Undergraduate Exchange, Exchange Faculty and or Staff, Exchange Cultural Activities, Mutual Collaboration, Joint Research, Conference, Distance Learning</x:v>
      </x:c>
      <x:c r="G334" s="11" t="n">
        <x:v>43194.5</x:v>
      </x:c>
      <x:c r="H334" s="11" t="n">
        <x:v>44655.5</x:v>
      </x:c>
      <x:c r="I334" s="7" t="str">
        <x:f>TEXT(G334,"dd mmm yyyy")&amp;" – "&amp;TEXT(H334,"dd mmm yyyy")</x:f>
        <x:v>04 Apr 2018 – 04 Apr 2022</x:v>
      </x:c>
      <x:c r="J334" s="7" t="str">
        <x:f>IF(H334&lt;TODAY(),"Expired","Active")</x:f>
        <x:v>Expired</x:v>
      </x:c>
      <x:c r="K334" s="15" t="str">
        <x:v>https://drive.google.com/file/d/19S_ybIUT74Bs8w7gMmIz7rfXqZfYGEEX/view?usp=drive_link</x:v>
      </x:c>
    </x:row>
    <x:row r="335" ht="42" customHeight="1">
      <x:c r="A335" s="9" t="str">
        <x:v>MOU-2018-015</x:v>
      </x:c>
      <x:c r="B335" s="9" t="str">
        <x:v>MoU_Yarmouk University_Jordan_2018</x:v>
      </x:c>
      <x:c r="C335" s="7" t="n">
        <x:v>15</x:v>
      </x:c>
      <x:c r="D335" s="13" t="str">
        <x:v>Yarmouk University</x:v>
      </x:c>
      <x:c r="E335" s="13" t="str">
        <x:v>Jordan</x:v>
      </x:c>
      <x:c r="F335" s="13" t="str">
        <x:v>1) Exchange of faculty and/or staff
2) Exchange of graduate and/or undergraduate students
3) Exchange of scientific materials, publications, and information
4) Exchange of cultural activities
5) Joint conferences and academic programs
6) Joint research activities and publications</x:v>
      </x:c>
      <x:c r="G335" s="11" t="n">
        <x:v>43186.5</x:v>
      </x:c>
      <x:c r="H335" s="11" t="n">
        <x:v>45012.5</x:v>
      </x:c>
      <x:c r="I335" s="7" t="str">
        <x:f>TEXT(G335,"dd mmm yyyy")&amp;" – "&amp;TEXT(H335,"dd mmm yyyy")</x:f>
        <x:v>27 Mar 2018 – 27 Mar 2023</x:v>
      </x:c>
      <x:c r="J335" s="7" t="str">
        <x:f>IF(H335&lt;TODAY(),"Expired","Active")</x:f>
        <x:v>Expired</x:v>
      </x:c>
      <x:c r="K335" s="15" t="str">
        <x:v>https://drive.google.com/file/d/1G6PJWChEddan-1Qs_A-sLw4tKZz8xYsb/view?usp=drive_link</x:v>
      </x:c>
    </x:row>
    <x:row r="336" ht="42" customHeight="1">
      <x:c r="A336" s="9" t="str">
        <x:v>MOU-2018-016</x:v>
      </x:c>
      <x:c r="B336" s="9" t="str">
        <x:v>MoU_Kedutaan Besar RI Untuk Yordania_Jordan_2018</x:v>
      </x:c>
      <x:c r="C336" s="7" t="n">
        <x:v>16</x:v>
      </x:c>
      <x:c r="D336" s="13" t="str">
        <x:v>Kedutaan Besar RI Untuk Yordania</x:v>
      </x:c>
      <x:c r="E336" s="13" t="str">
        <x:v>Jordan</x:v>
      </x:c>
      <x:c r="F336" s="13" t="str">
        <x:v>Kerjasama Kemanusiaan dan Pengembangan Kapasitas SDM WN Yordania dan Palestina</x:v>
      </x:c>
      <x:c r="G336" s="11" t="n">
        <x:v>43185.5</x:v>
      </x:c>
      <x:c r="H336" s="11" t="n">
        <x:v>45011.5</x:v>
      </x:c>
      <x:c r="I336" s="7" t="str">
        <x:f>TEXT(G336,"dd mmm yyyy")&amp;" – "&amp;TEXT(H336,"dd mmm yyyy")</x:f>
        <x:v>26 Mar 2018 – 26 Mar 2023</x:v>
      </x:c>
      <x:c r="J336" s="7" t="str">
        <x:f>IF(H336&lt;TODAY(),"Expired","Active")</x:f>
        <x:v>Expired</x:v>
      </x:c>
      <x:c r="K336" s="15" t="str">
        <x:v>https://drive.google.com/file/d/11U9RdTVLO4dyTpXkmNlf-elUCsq-BEtD/view?usp=drive_link</x:v>
      </x:c>
    </x:row>
    <x:row r="337" ht="42" customHeight="1">
      <x:c r="A337" s="9" t="str">
        <x:v>MOU-2018-017</x:v>
      </x:c>
      <x:c r="B337" s="9" t="str">
        <x:v>MoU_Embassy of the State of Palestine_Palestine_2018</x:v>
      </x:c>
      <x:c r="C337" s="7" t="n">
        <x:v>17</x:v>
      </x:c>
      <x:c r="D337" s="13" t="str">
        <x:v>Embassy of the State of Palestine</x:v>
      </x:c>
      <x:c r="E337" s="13" t="str">
        <x:v>Palestine</x:v>
      </x:c>
      <x:c r="F337" s="13" t="str">
        <x:v>1) Scholarship For Young Palestinian
2) Exchange Academic Information And Literature
3) Collaborative Research 
4) Cultural Activities</x:v>
      </x:c>
      <x:c r="G337" s="11" t="n">
        <x:v>43180.5</x:v>
      </x:c>
      <x:c r="H337" s="11" t="n">
        <x:v>44641.5</x:v>
      </x:c>
      <x:c r="I337" s="7" t="str">
        <x:f>TEXT(G337,"dd mmm yyyy")&amp;" – "&amp;TEXT(H337,"dd mmm yyyy")</x:f>
        <x:v>21 Mar 2018 – 21 Mar 2022</x:v>
      </x:c>
      <x:c r="J337" s="7" t="str">
        <x:f>IF(H337&lt;TODAY(),"Expired","Active")</x:f>
        <x:v>Expired</x:v>
      </x:c>
      <x:c r="K337" s="15" t="str">
        <x:v>https://drive.google.com/file/d/1_VU-p__izPYyoAFjgcw-GRhuPTtfTyqk/view?usp=drive_link</x:v>
      </x:c>
    </x:row>
    <x:row r="338" ht="42" customHeight="1">
      <x:c r="A338" s="9" t="str">
        <x:v>MOU-2018-018</x:v>
      </x:c>
      <x:c r="B338" s="9" t="str">
        <x:v>MoU_Penza State University_Russian Federation_2018</x:v>
      </x:c>
      <x:c r="C338" s="7" t="n">
        <x:v>18</x:v>
      </x:c>
      <x:c r="D338" s="13" t="str">
        <x:v>Penza State University</x:v>
      </x:c>
      <x:c r="E338" s="13" t="str">
        <x:v>Russian Federation</x:v>
      </x:c>
      <x:c r="F338" s="13" t="str">
        <x:v>Education, Science, and Technology</x:v>
      </x:c>
      <x:c r="G338" s="11" t="n">
        <x:v>43171.5</x:v>
      </x:c>
      <x:c r="H338" s="11" t="n">
        <x:v>44997.5</x:v>
      </x:c>
      <x:c r="I338" s="7" t="str">
        <x:f>TEXT(G338,"dd mmm yyyy")&amp;" – "&amp;TEXT(H338,"dd mmm yyyy")</x:f>
        <x:v>12 Mar 2018 – 12 Mar 2023</x:v>
      </x:c>
      <x:c r="J338" s="7" t="str">
        <x:f>IF(H338&lt;TODAY(),"Expired","Active")</x:f>
        <x:v>Expired</x:v>
      </x:c>
      <x:c r="K338" s="15" t="str">
        <x:v>https://drive.google.com/file/d/1oLNLHwueP3_Dy8TbMV5pYSjaLiby4Ln-/view?usp=drive_link</x:v>
      </x:c>
    </x:row>
    <x:row r="339" ht="42" customHeight="1">
      <x:c r="A339" s="9" t="str">
        <x:v>MOU-2018-019</x:v>
      </x:c>
      <x:c r="B339" s="9" t="str">
        <x:v>MoU_National Pingtung University of Science and Technology_Taiwan_2018</x:v>
      </x:c>
      <x:c r="C339" s="7" t="n">
        <x:v>19</x:v>
      </x:c>
      <x:c r="D339" s="13" t="str">
        <x:v>National Pingtung University of Science and Technology</x:v>
      </x:c>
      <x:c r="E339" s="13" t="str">
        <x:v>Taiwan</x:v>
      </x:c>
      <x:c r="F339" s="13" t="str">
        <x:v>Undergraduate Dual Degree Program</x:v>
      </x:c>
      <x:c r="G339" s="11" t="n">
        <x:v>43115.5</x:v>
      </x:c>
      <x:c r="H339" s="11" t="n">
        <x:v>44941.5</x:v>
      </x:c>
      <x:c r="I339" s="7" t="str">
        <x:f>TEXT(G339,"dd mmm yyyy")&amp;" – "&amp;TEXT(H339,"dd mmm yyyy")</x:f>
        <x:v>15 Jan 2018 – 15 Jan 2023</x:v>
      </x:c>
      <x:c r="J339" s="7" t="str">
        <x:f>IF(H339&lt;TODAY(),"Expired","Active")</x:f>
        <x:v>Expired</x:v>
      </x:c>
      <x:c r="K339" s="15" t="str">
        <x:v>https://drive.google.com/file/d/1RuYq5kfiDRL7ZbzmhGqxwAmI6tG2d3IX/view?usp=drive_link</x:v>
      </x:c>
    </x:row>
    <x:row r="340" ht="42" customHeight="1">
      <x:c r="A340" s="10" t="str">
        <x:v>MOU-2018-020</x:v>
      </x:c>
      <x:c r="B340" s="10" t="str">
        <x:v>MoU_Shu-Te University_Taiwan_2018</x:v>
      </x:c>
      <x:c r="C340" s="8" t="n">
        <x:v>20</x:v>
      </x:c>
      <x:c r="D340" s="14" t="str">
        <x:v>Shu-Te University</x:v>
      </x:c>
      <x:c r="E340" s="14" t="str">
        <x:v>Taiwan</x:v>
      </x:c>
      <x:c r="F340" s="14" t="str">
        <x:v>Exchange of Faculty and or Staff, Graduates or Undergraduates, Scientific Materials Publications Information, Cultural Activities, Joint Conferences, Joint Research</x:v>
      </x:c>
      <x:c r="G340" s="12" t="n">
        <x:v>43101.5</x:v>
      </x:c>
      <x:c r="H340" s="12" t="n">
        <x:v>44927.5</x:v>
      </x:c>
      <x:c r="I340" s="8" t="str">
        <x:f>TEXT(G340,"dd mmm yyyy")&amp;" – "&amp;TEXT(H340,"dd mmm yyyy")</x:f>
        <x:v>01 Jan 2018 – 01 Jan 2023</x:v>
      </x:c>
      <x:c r="J340" s="8" t="str">
        <x:f>IF(H340&lt;TODAY(),"Expired","Active")</x:f>
        <x:v>Expired</x:v>
      </x:c>
      <x:c r="K340" s="16" t="str">
        <x:v>https://drive.google.com/file/d/1IihpvH9KLmDi_feLcTsEIOOYjU4WQ2Rp/view?usp=drive_link</x:v>
      </x:c>
    </x:row>
  </x:sheetData>
  <x:conditionalFormatting sqref="J2:J340">
    <x:cfRule type="containsText" dxfId="0" priority="1" operator="containsText" text="Active"/>
    <x:cfRule type="containsText" dxfId="1" priority="2" operator="containsText" text="Expired"/>
  </x:conditionalFormatting>
  <x:dataValidations count="1">
    <x:dataValidation type="list" sqref="J2:J340">
      <x:formula1>"Active,Expired"</x:formula1>
    </x:dataValidation>
  </x:dataValidations>
  <x:pageMargins left="0.7" right="0.7" top="0.75" bottom="0.75" header="0.3" footer="0.3"/>
  <x:tableParts count="1">
    <x:tablePart xmlns:r="http://schemas.openxmlformats.org/officeDocument/2006/relationships" r:id="Rccd0d3c37cd649aa"/>
  </x:tableParts>
</x:worksheet>
</file>